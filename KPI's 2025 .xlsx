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3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4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drawings/drawing5.xml" ContentType="application/vnd.openxmlformats-officedocument.drawing+xml"/>
  <Override PartName="/xl/charts/chart24.xml" ContentType="application/vnd.openxmlformats-officedocument.drawingml.chart+xml"/>
  <Override PartName="/xl/charts/chart25.xml" ContentType="application/vnd.openxmlformats-officedocument.drawingml.chart+xml"/>
  <Override PartName="/xl/charts/chart26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harts/chart27.xml" ContentType="application/vnd.openxmlformats-officedocument.drawingml.chart+xml"/>
  <Override PartName="/xl/charts/style25.xml" ContentType="application/vnd.ms-office.chartstyle+xml"/>
  <Override PartName="/xl/charts/colors25.xml" ContentType="application/vnd.ms-office.chartcolorstyle+xml"/>
  <Override PartName="/xl/charts/chart28.xml" ContentType="application/vnd.openxmlformats-officedocument.drawingml.chart+xml"/>
  <Override PartName="/xl/charts/style26.xml" ContentType="application/vnd.ms-office.chartstyle+xml"/>
  <Override PartName="/xl/charts/colors26.xml" ContentType="application/vnd.ms-office.chartcolorstyle+xml"/>
  <Override PartName="/xl/charts/chart29.xml" ContentType="application/vnd.openxmlformats-officedocument.drawingml.chart+xml"/>
  <Override PartName="/xl/charts/style27.xml" ContentType="application/vnd.ms-office.chartstyle+xml"/>
  <Override PartName="/xl/charts/colors27.xml" ContentType="application/vnd.ms-office.chartcolorstyle+xml"/>
  <Override PartName="/xl/charts/chart30.xml" ContentType="application/vnd.openxmlformats-officedocument.drawingml.chart+xml"/>
  <Override PartName="/xl/charts/style28.xml" ContentType="application/vnd.ms-office.chartstyle+xml"/>
  <Override PartName="/xl/charts/colors28.xml" ContentType="application/vnd.ms-office.chartcolorstyle+xml"/>
  <Override PartName="/xl/drawings/drawing6.xml" ContentType="application/vnd.openxmlformats-officedocument.drawing+xml"/>
  <Override PartName="/xl/charts/chart31.xml" ContentType="application/vnd.openxmlformats-officedocument.drawingml.chart+xml"/>
  <Override PartName="/xl/charts/style29.xml" ContentType="application/vnd.ms-office.chartstyle+xml"/>
  <Override PartName="/xl/charts/colors29.xml" ContentType="application/vnd.ms-office.chartcolorstyle+xml"/>
  <Override PartName="/xl/charts/chart32.xml" ContentType="application/vnd.openxmlformats-officedocument.drawingml.chart+xml"/>
  <Override PartName="/xl/charts/style30.xml" ContentType="application/vnd.ms-office.chartstyle+xml"/>
  <Override PartName="/xl/charts/colors30.xml" ContentType="application/vnd.ms-office.chartcolorstyle+xml"/>
  <Override PartName="/xl/charts/chart33.xml" ContentType="application/vnd.openxmlformats-officedocument.drawingml.chart+xml"/>
  <Override PartName="/xl/charts/style31.xml" ContentType="application/vnd.ms-office.chartstyle+xml"/>
  <Override PartName="/xl/charts/colors31.xml" ContentType="application/vnd.ms-office.chartcolorstyle+xml"/>
  <Override PartName="/xl/charts/chart34.xml" ContentType="application/vnd.openxmlformats-officedocument.drawingml.chart+xml"/>
  <Override PartName="/xl/charts/style32.xml" ContentType="application/vnd.ms-office.chartstyle+xml"/>
  <Override PartName="/xl/charts/colors32.xml" ContentType="application/vnd.ms-office.chartcolorstyle+xml"/>
  <Override PartName="/xl/charts/chart35.xml" ContentType="application/vnd.openxmlformats-officedocument.drawingml.chart+xml"/>
  <Override PartName="/xl/charts/style33.xml" ContentType="application/vnd.ms-office.chartstyle+xml"/>
  <Override PartName="/xl/charts/colors33.xml" ContentType="application/vnd.ms-office.chartcolorstyle+xml"/>
  <Override PartName="/xl/charts/chart36.xml" ContentType="application/vnd.openxmlformats-officedocument.drawingml.chart+xml"/>
  <Override PartName="/xl/charts/style34.xml" ContentType="application/vnd.ms-office.chartstyle+xml"/>
  <Override PartName="/xl/charts/colors34.xml" ContentType="application/vnd.ms-office.chartcolorstyle+xml"/>
  <Override PartName="/xl/drawings/drawing7.xml" ContentType="application/vnd.openxmlformats-officedocument.drawing+xml"/>
  <Override PartName="/xl/charts/chart37.xml" ContentType="application/vnd.openxmlformats-officedocument.drawingml.chart+xml"/>
  <Override PartName="/xl/charts/style35.xml" ContentType="application/vnd.ms-office.chartstyle+xml"/>
  <Override PartName="/xl/charts/colors35.xml" ContentType="application/vnd.ms-office.chartcolorstyle+xml"/>
  <Override PartName="/xl/drawings/drawing8.xml" ContentType="application/vnd.openxmlformats-officedocument.drawing+xml"/>
  <Override PartName="/xl/charts/chart38.xml" ContentType="application/vnd.openxmlformats-officedocument.drawingml.chart+xml"/>
  <Override PartName="/xl/charts/style36.xml" ContentType="application/vnd.ms-office.chartstyle+xml"/>
  <Override PartName="/xl/charts/colors36.xml" ContentType="application/vnd.ms-office.chartcolorstyle+xml"/>
  <Override PartName="/xl/drawings/drawing9.xml" ContentType="application/vnd.openxmlformats-officedocument.drawing+xml"/>
  <Override PartName="/xl/charts/chart39.xml" ContentType="application/vnd.openxmlformats-officedocument.drawingml.chart+xml"/>
  <Override PartName="/xl/charts/style37.xml" ContentType="application/vnd.ms-office.chartstyle+xml"/>
  <Override PartName="/xl/charts/colors3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ctold\Dropbox\2025\Ferramentas 2025\"/>
    </mc:Choice>
  </mc:AlternateContent>
  <xr:revisionPtr revIDLastSave="0" documentId="8_{64D12AF8-323B-4C2B-B81C-8797240B9466}" xr6:coauthVersionLast="47" xr6:coauthVersionMax="47" xr10:uidLastSave="{00000000-0000-0000-0000-000000000000}"/>
  <bookViews>
    <workbookView xWindow="-108" yWindow="-108" windowWidth="23256" windowHeight="12456" tabRatio="768" activeTab="1" xr2:uid="{00000000-000D-0000-FFFF-FFFF00000000}"/>
  </bookViews>
  <sheets>
    <sheet name="Resultados da organização" sheetId="10" r:id="rId1"/>
    <sheet name="Serviço" sheetId="3" r:id="rId2"/>
    <sheet name="Serviço MTD" sheetId="5" state="hidden" r:id="rId3"/>
    <sheet name="Pessoas" sheetId="2" r:id="rId4"/>
    <sheet name="Produto" sheetId="4" r:id="rId5"/>
    <sheet name="Manutenção" sheetId="1" r:id="rId6"/>
    <sheet name="BSV" sheetId="7" r:id="rId7"/>
    <sheet name="VSC" sheetId="8" r:id="rId8"/>
    <sheet name="Gestão de Turno" sheetId="9" r:id="rId9"/>
    <sheet name="Gerentes" sheetId="6" r:id="rId10"/>
    <sheet name="Folha1" sheetId="11" r:id="rId11"/>
  </sheets>
  <externalReferences>
    <externalReference r:id="rId12"/>
    <externalReference r:id="rId13"/>
  </externalReferenc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33" i="3" l="1"/>
  <c r="L17" i="3"/>
  <c r="L16" i="3"/>
  <c r="L13" i="3"/>
  <c r="L8" i="3"/>
  <c r="F17" i="3"/>
  <c r="F16" i="3"/>
  <c r="F13" i="3"/>
  <c r="F8" i="3"/>
  <c r="I84" i="3"/>
  <c r="O136" i="3" l="1"/>
  <c r="N136" i="3"/>
  <c r="M136" i="3"/>
  <c r="L136" i="3"/>
  <c r="K136" i="3"/>
  <c r="J136" i="3"/>
  <c r="I136" i="3"/>
  <c r="H136" i="3"/>
  <c r="G136" i="3"/>
  <c r="F136" i="3"/>
  <c r="O135" i="3"/>
  <c r="N135" i="3"/>
  <c r="M135" i="3"/>
  <c r="L135" i="3"/>
  <c r="K135" i="3"/>
  <c r="J135" i="3"/>
  <c r="I135" i="3"/>
  <c r="H135" i="3"/>
  <c r="G135" i="3"/>
  <c r="F135" i="3"/>
  <c r="O134" i="3"/>
  <c r="N134" i="3"/>
  <c r="M134" i="3"/>
  <c r="L134" i="3"/>
  <c r="K134" i="3"/>
  <c r="J134" i="3"/>
  <c r="I134" i="3"/>
  <c r="H134" i="3"/>
  <c r="G134" i="3"/>
  <c r="F134" i="3"/>
  <c r="O133" i="3"/>
  <c r="N133" i="3"/>
  <c r="M133" i="3"/>
  <c r="L133" i="3"/>
  <c r="K133" i="3"/>
  <c r="J133" i="3"/>
  <c r="I133" i="3"/>
  <c r="H133" i="3"/>
  <c r="G133" i="3"/>
  <c r="F133" i="3"/>
  <c r="O132" i="3"/>
  <c r="N132" i="3"/>
  <c r="M132" i="3"/>
  <c r="L132" i="3"/>
  <c r="K132" i="3"/>
  <c r="J132" i="3"/>
  <c r="I132" i="3"/>
  <c r="H132" i="3"/>
  <c r="G132" i="3"/>
  <c r="F132" i="3"/>
  <c r="O131" i="3"/>
  <c r="N131" i="3"/>
  <c r="M131" i="3"/>
  <c r="L131" i="3"/>
  <c r="K131" i="3"/>
  <c r="J131" i="3"/>
  <c r="I131" i="3"/>
  <c r="H131" i="3"/>
  <c r="G131" i="3"/>
  <c r="F131" i="3"/>
  <c r="O130" i="3"/>
  <c r="N130" i="3"/>
  <c r="M130" i="3"/>
  <c r="L130" i="3"/>
  <c r="K130" i="3"/>
  <c r="J130" i="3"/>
  <c r="I130" i="3"/>
  <c r="H130" i="3"/>
  <c r="G130" i="3"/>
  <c r="F130" i="3"/>
  <c r="O129" i="3"/>
  <c r="N129" i="3"/>
  <c r="M129" i="3"/>
  <c r="L129" i="3"/>
  <c r="K129" i="3"/>
  <c r="J129" i="3"/>
  <c r="I129" i="3"/>
  <c r="H129" i="3"/>
  <c r="G129" i="3"/>
  <c r="F129" i="3"/>
  <c r="O128" i="3"/>
  <c r="N128" i="3"/>
  <c r="M128" i="3"/>
  <c r="L128" i="3"/>
  <c r="K128" i="3"/>
  <c r="J128" i="3"/>
  <c r="I128" i="3"/>
  <c r="H128" i="3"/>
  <c r="G128" i="3"/>
  <c r="F128" i="3"/>
  <c r="H147" i="3"/>
  <c r="I147" i="3"/>
  <c r="H83" i="3"/>
  <c r="G73" i="3" l="1"/>
  <c r="F83" i="3" l="1"/>
  <c r="J7" i="11"/>
  <c r="I15" i="11"/>
  <c r="I7" i="11"/>
  <c r="I14" i="11"/>
  <c r="J6" i="11"/>
  <c r="J5" i="11"/>
  <c r="I6" i="11"/>
  <c r="P89" i="3" l="1"/>
  <c r="P78" i="3"/>
  <c r="P84" i="3"/>
  <c r="P87" i="3" s="1"/>
  <c r="P73" i="3"/>
  <c r="P76" i="3" s="1"/>
  <c r="P72" i="3"/>
  <c r="P83" i="3"/>
  <c r="O77" i="3"/>
  <c r="O71" i="3"/>
  <c r="O70" i="3"/>
  <c r="O88" i="3"/>
  <c r="O81" i="3"/>
  <c r="O82" i="3"/>
  <c r="N84" i="3" l="1"/>
  <c r="N87" i="3" s="1"/>
  <c r="N73" i="3"/>
  <c r="L72" i="3"/>
  <c r="J89" i="3"/>
  <c r="J78" i="3"/>
  <c r="Q70" i="3" l="1"/>
  <c r="Q71" i="3"/>
  <c r="Q21" i="10"/>
  <c r="P21" i="10"/>
  <c r="O21" i="10"/>
  <c r="N21" i="10"/>
  <c r="M21" i="10"/>
  <c r="L21" i="10"/>
  <c r="K21" i="10"/>
  <c r="M134" i="4"/>
  <c r="Q92" i="4"/>
  <c r="T50" i="4"/>
  <c r="J83" i="3"/>
  <c r="K89" i="3"/>
  <c r="L89" i="3"/>
  <c r="M89" i="3"/>
  <c r="N89" i="3"/>
  <c r="C89" i="3"/>
  <c r="D89" i="3"/>
  <c r="F89" i="3"/>
  <c r="G89" i="3"/>
  <c r="H89" i="3"/>
  <c r="I89" i="3"/>
  <c r="Q72" i="3" l="1"/>
  <c r="H73" i="3"/>
  <c r="H76" i="3" s="1"/>
  <c r="N13" i="10"/>
  <c r="O13" i="10" s="1"/>
  <c r="R37" i="10"/>
  <c r="R35" i="10"/>
  <c r="T35" i="10" s="1"/>
  <c r="R33" i="10"/>
  <c r="T33" i="10" s="1"/>
  <c r="T47" i="10"/>
  <c r="T46" i="10"/>
  <c r="T44" i="10"/>
  <c r="T43" i="10"/>
  <c r="T41" i="10"/>
  <c r="T40" i="10"/>
  <c r="T39" i="10"/>
  <c r="T38" i="10"/>
  <c r="T37" i="10"/>
  <c r="T36" i="10"/>
  <c r="T34" i="10"/>
  <c r="T32" i="10"/>
  <c r="T31" i="10"/>
  <c r="X6" i="10"/>
  <c r="Y7" i="10"/>
  <c r="W7" i="10"/>
  <c r="U6" i="10"/>
  <c r="S6" i="10"/>
  <c r="Y5" i="10"/>
  <c r="Y6" i="10" l="1"/>
  <c r="W6" i="10"/>
  <c r="I10" i="10"/>
  <c r="I9" i="10"/>
  <c r="I8" i="10"/>
  <c r="I7" i="10"/>
  <c r="I6" i="10"/>
  <c r="I5" i="10"/>
  <c r="G10" i="10"/>
  <c r="G9" i="10"/>
  <c r="G8" i="10"/>
  <c r="G7" i="10"/>
  <c r="G6" i="10"/>
  <c r="G5" i="10"/>
  <c r="T23" i="10"/>
  <c r="K10" i="10"/>
  <c r="K9" i="10"/>
  <c r="K8" i="10"/>
  <c r="K7" i="10"/>
  <c r="K6" i="10"/>
  <c r="K5" i="10"/>
  <c r="F35" i="10" l="1"/>
  <c r="F33" i="10"/>
  <c r="F37" i="10"/>
  <c r="E38" i="1"/>
  <c r="E37" i="1"/>
  <c r="Q33" i="3" l="1"/>
  <c r="Q32" i="3"/>
  <c r="Q34" i="3"/>
  <c r="F73" i="3"/>
  <c r="F76" i="3" s="1"/>
  <c r="E73" i="3"/>
  <c r="E76" i="3" s="1"/>
  <c r="D73" i="3"/>
  <c r="D76" i="3" s="1"/>
  <c r="C73" i="3"/>
  <c r="C76" i="3" s="1"/>
  <c r="H84" i="3"/>
  <c r="H87" i="3" s="1"/>
  <c r="G84" i="3"/>
  <c r="G87" i="3" s="1"/>
  <c r="F84" i="3"/>
  <c r="F87" i="3" s="1"/>
  <c r="E84" i="3"/>
  <c r="E87" i="3" s="1"/>
  <c r="D84" i="3"/>
  <c r="D87" i="3" s="1"/>
  <c r="C84" i="3"/>
  <c r="C87" i="3" s="1"/>
  <c r="M84" i="3" l="1"/>
  <c r="M87" i="3" s="1"/>
  <c r="M73" i="3"/>
  <c r="N4" i="6" l="1"/>
  <c r="C3" i="8"/>
  <c r="L35" i="8"/>
  <c r="I35" i="8"/>
  <c r="F35" i="8"/>
  <c r="N31" i="8"/>
  <c r="M31" i="8"/>
  <c r="L31" i="8"/>
  <c r="K31" i="8"/>
  <c r="J31" i="8"/>
  <c r="J34" i="8" s="1"/>
  <c r="I31" i="8"/>
  <c r="H31" i="8"/>
  <c r="G31" i="8"/>
  <c r="F31" i="8"/>
  <c r="N30" i="8"/>
  <c r="M30" i="8"/>
  <c r="L30" i="8"/>
  <c r="K30" i="8"/>
  <c r="J30" i="8"/>
  <c r="I30" i="8"/>
  <c r="H30" i="8"/>
  <c r="G30" i="8"/>
  <c r="F30" i="8"/>
  <c r="N28" i="8"/>
  <c r="M28" i="8"/>
  <c r="L28" i="8"/>
  <c r="K28" i="8"/>
  <c r="J28" i="8"/>
  <c r="I28" i="8"/>
  <c r="H28" i="8"/>
  <c r="G28" i="8"/>
  <c r="F28" i="8"/>
  <c r="C27" i="8"/>
  <c r="C26" i="8"/>
  <c r="C25" i="8"/>
  <c r="C24" i="8"/>
  <c r="C23" i="8"/>
  <c r="C22" i="8"/>
  <c r="C21" i="8"/>
  <c r="C20" i="8"/>
  <c r="C19" i="8"/>
  <c r="C18" i="8"/>
  <c r="C17" i="8"/>
  <c r="C16" i="8"/>
  <c r="C15" i="8"/>
  <c r="P14" i="8"/>
  <c r="C14" i="8"/>
  <c r="P13" i="8"/>
  <c r="C13" i="8"/>
  <c r="P12" i="8"/>
  <c r="C12" i="8"/>
  <c r="P11" i="8"/>
  <c r="C11" i="8"/>
  <c r="P10" i="8"/>
  <c r="C10" i="8"/>
  <c r="P9" i="8"/>
  <c r="C9" i="8"/>
  <c r="P8" i="8"/>
  <c r="C8" i="8"/>
  <c r="P7" i="8"/>
  <c r="J33" i="8"/>
  <c r="P6" i="8"/>
  <c r="P5" i="8"/>
  <c r="P4" i="8"/>
  <c r="J3" i="8"/>
  <c r="I3" i="8"/>
  <c r="H3" i="8"/>
  <c r="G3" i="8"/>
  <c r="F3" i="8"/>
  <c r="N32" i="7"/>
  <c r="M32" i="7"/>
  <c r="L32" i="7"/>
  <c r="K32" i="7"/>
  <c r="J32" i="7"/>
  <c r="I32" i="7"/>
  <c r="H32" i="7"/>
  <c r="G32" i="7"/>
  <c r="F32" i="7"/>
  <c r="G31" i="7"/>
  <c r="H31" i="7"/>
  <c r="I31" i="7"/>
  <c r="J31" i="7"/>
  <c r="K31" i="7"/>
  <c r="L31" i="7"/>
  <c r="M31" i="7"/>
  <c r="N31" i="7"/>
  <c r="F31" i="7"/>
  <c r="T13" i="6" a="1"/>
  <c r="T13" i="6" s="1"/>
  <c r="L13" i="6" s="1"/>
  <c r="R13" i="6" a="1"/>
  <c r="R13" i="6" s="1"/>
  <c r="K13" i="6" s="1"/>
  <c r="M13" i="6"/>
  <c r="N13" i="6" s="1"/>
  <c r="G13" i="6"/>
  <c r="E13" i="6"/>
  <c r="T12" i="6" a="1"/>
  <c r="T12" i="6" s="1"/>
  <c r="L12" i="6" s="1"/>
  <c r="M12" i="6"/>
  <c r="N12" i="6" s="1"/>
  <c r="E12" i="6"/>
  <c r="J12" i="6" s="1"/>
  <c r="F13" i="6"/>
  <c r="F66" i="9"/>
  <c r="F65" i="9"/>
  <c r="R12" i="6" a="1"/>
  <c r="R12" i="6" s="1"/>
  <c r="K12" i="6" s="1"/>
  <c r="T11" i="6" a="1"/>
  <c r="T11" i="6" s="1"/>
  <c r="L11" i="6" s="1"/>
  <c r="R11" i="6" a="1"/>
  <c r="R11" i="6" s="1"/>
  <c r="K11" i="6" s="1"/>
  <c r="M11" i="6"/>
  <c r="N11" i="6" s="1"/>
  <c r="G11" i="6"/>
  <c r="F11" i="6"/>
  <c r="E11" i="6"/>
  <c r="H11" i="6" s="1"/>
  <c r="M10" i="6"/>
  <c r="N10" i="6" s="1"/>
  <c r="T10" i="6" a="1"/>
  <c r="T10" i="6" s="1"/>
  <c r="L10" i="6" s="1"/>
  <c r="R10" i="6" a="1"/>
  <c r="R10" i="6" s="1"/>
  <c r="K10" i="6" s="1"/>
  <c r="G10" i="6"/>
  <c r="E10" i="6"/>
  <c r="J10" i="6" s="1"/>
  <c r="Q45" i="9"/>
  <c r="Q44" i="9"/>
  <c r="Q43" i="9"/>
  <c r="Q42" i="9"/>
  <c r="Q41" i="9"/>
  <c r="Q40" i="9"/>
  <c r="Q39" i="9"/>
  <c r="F10" i="6" s="1"/>
  <c r="M9" i="6"/>
  <c r="N9" i="6" s="1"/>
  <c r="T9" i="6" a="1"/>
  <c r="T9" i="6" s="1"/>
  <c r="L9" i="6" s="1"/>
  <c r="R9" i="6" a="1"/>
  <c r="R9" i="6" s="1"/>
  <c r="K9" i="6" s="1"/>
  <c r="G9" i="6"/>
  <c r="F9" i="6"/>
  <c r="E9" i="6"/>
  <c r="J9" i="6" s="1"/>
  <c r="M8" i="6"/>
  <c r="N8" i="6" s="1"/>
  <c r="T8" i="6" a="1"/>
  <c r="T8" i="6" s="1"/>
  <c r="L8" i="6" s="1"/>
  <c r="R8" i="6" a="1"/>
  <c r="R8" i="6" s="1"/>
  <c r="K8" i="6" s="1"/>
  <c r="J7" i="6"/>
  <c r="G8" i="6"/>
  <c r="I8" i="6" s="1"/>
  <c r="F8" i="6"/>
  <c r="E8" i="6"/>
  <c r="H8" i="6" s="1"/>
  <c r="N7" i="6"/>
  <c r="M7" i="6"/>
  <c r="T7" i="6" a="1"/>
  <c r="T7" i="6" s="1"/>
  <c r="L7" i="6" s="1"/>
  <c r="R7" i="6" a="1"/>
  <c r="R7" i="6" s="1"/>
  <c r="K7" i="6" s="1"/>
  <c r="G7" i="6"/>
  <c r="E7" i="6"/>
  <c r="F7" i="6"/>
  <c r="N6" i="6"/>
  <c r="M6" i="6"/>
  <c r="T6" i="6" a="1"/>
  <c r="T6" i="6" s="1"/>
  <c r="L6" i="6" s="1"/>
  <c r="R6" i="6" a="1"/>
  <c r="R6" i="6" s="1"/>
  <c r="K6" i="6" s="1"/>
  <c r="N5" i="6"/>
  <c r="M5" i="6"/>
  <c r="T5" i="6" a="1"/>
  <c r="T5" i="6" s="1"/>
  <c r="L5" i="6" s="1"/>
  <c r="R5" i="6" a="1"/>
  <c r="R5" i="6" s="1"/>
  <c r="K5" i="6" s="1"/>
  <c r="G5" i="6"/>
  <c r="I5" i="6" s="1"/>
  <c r="F5" i="6"/>
  <c r="E5" i="6"/>
  <c r="H5" i="6" s="1"/>
  <c r="M4" i="6"/>
  <c r="T4" i="6" a="1"/>
  <c r="T4" i="6" s="1"/>
  <c r="L4" i="6" s="1"/>
  <c r="H7" i="6"/>
  <c r="T3" i="6" a="1"/>
  <c r="T3" i="6" s="1"/>
  <c r="L3" i="6" s="1"/>
  <c r="I7" i="6"/>
  <c r="I9" i="6"/>
  <c r="I11" i="6"/>
  <c r="M3" i="6"/>
  <c r="J13" i="6"/>
  <c r="P15" i="8" l="1"/>
  <c r="H34" i="8"/>
  <c r="F34" i="8"/>
  <c r="G34" i="8"/>
  <c r="I34" i="8"/>
  <c r="H9" i="6"/>
  <c r="I10" i="6"/>
  <c r="H10" i="6"/>
  <c r="H13" i="6"/>
  <c r="J11" i="6"/>
  <c r="J8" i="6"/>
  <c r="J5" i="6"/>
  <c r="L35" i="7"/>
  <c r="G12" i="6"/>
  <c r="F12" i="6"/>
  <c r="K35" i="7"/>
  <c r="G4" i="6"/>
  <c r="G6" i="6"/>
  <c r="R4" i="6" a="1"/>
  <c r="R4" i="6" s="1"/>
  <c r="K4" i="6" s="1"/>
  <c r="Q17" i="9"/>
  <c r="M35" i="7"/>
  <c r="G35" i="7"/>
  <c r="H35" i="7"/>
  <c r="I35" i="7"/>
  <c r="J35" i="7"/>
  <c r="F35" i="7"/>
  <c r="N35" i="7"/>
  <c r="K34" i="8"/>
  <c r="M34" i="8"/>
  <c r="L34" i="8"/>
  <c r="N34" i="8"/>
  <c r="L33" i="8"/>
  <c r="F32" i="8"/>
  <c r="M33" i="8"/>
  <c r="G32" i="8"/>
  <c r="N33" i="8"/>
  <c r="H32" i="8"/>
  <c r="I32" i="8"/>
  <c r="J32" i="8"/>
  <c r="J29" i="8" s="1"/>
  <c r="K32" i="8"/>
  <c r="K33" i="8"/>
  <c r="M32" i="8"/>
  <c r="N32" i="8"/>
  <c r="G33" i="8"/>
  <c r="I33" i="8"/>
  <c r="L32" i="8"/>
  <c r="F33" i="8"/>
  <c r="H33" i="8"/>
  <c r="I13" i="6"/>
  <c r="E6" i="6"/>
  <c r="F6" i="6"/>
  <c r="F4" i="6"/>
  <c r="E4" i="6"/>
  <c r="L14" i="6"/>
  <c r="K29" i="8" l="1"/>
  <c r="I12" i="6"/>
  <c r="H12" i="6"/>
  <c r="O14" i="9"/>
  <c r="O15" i="9"/>
  <c r="H6" i="6"/>
  <c r="J6" i="6"/>
  <c r="I29" i="8"/>
  <c r="G29" i="8"/>
  <c r="M29" i="8"/>
  <c r="L29" i="8"/>
  <c r="N29" i="8"/>
  <c r="H29" i="8"/>
  <c r="F29" i="8"/>
  <c r="I6" i="6"/>
  <c r="I4" i="6"/>
  <c r="H4" i="6"/>
  <c r="J4" i="6"/>
  <c r="N3" i="6"/>
  <c r="F32" i="9" l="1"/>
  <c r="F31" i="9"/>
  <c r="R3" i="6" a="1"/>
  <c r="R3" i="6" s="1"/>
  <c r="K3" i="6" s="1"/>
  <c r="E3" i="6" l="1"/>
  <c r="F3" i="6"/>
  <c r="J3" i="6" l="1"/>
  <c r="G3" i="6"/>
  <c r="I3" i="6" l="1"/>
  <c r="H3" i="6"/>
  <c r="T28" i="10" l="1"/>
  <c r="T27" i="10"/>
  <c r="T26" i="10"/>
  <c r="T25" i="10"/>
  <c r="T24" i="10"/>
  <c r="R22" i="10"/>
  <c r="T22" i="10" s="1"/>
  <c r="Q22" i="10"/>
  <c r="P22" i="10"/>
  <c r="O22" i="10"/>
  <c r="N22" i="10"/>
  <c r="M22" i="10"/>
  <c r="L22" i="10"/>
  <c r="K22" i="10"/>
  <c r="J22" i="10"/>
  <c r="I22" i="10"/>
  <c r="H22" i="10"/>
  <c r="G22" i="10"/>
  <c r="F22" i="10"/>
  <c r="Q20" i="10"/>
  <c r="P20" i="10"/>
  <c r="O20" i="10"/>
  <c r="N20" i="10"/>
  <c r="M20" i="10"/>
  <c r="L20" i="10"/>
  <c r="K20" i="10"/>
  <c r="J20" i="10"/>
  <c r="I20" i="10"/>
  <c r="H20" i="10"/>
  <c r="G20" i="10"/>
  <c r="F20" i="10"/>
  <c r="Q45" i="10"/>
  <c r="P45" i="10"/>
  <c r="O45" i="10"/>
  <c r="N45" i="10"/>
  <c r="M45" i="10"/>
  <c r="L45" i="10"/>
  <c r="K45" i="10"/>
  <c r="J45" i="10"/>
  <c r="I45" i="10"/>
  <c r="H45" i="10"/>
  <c r="G45" i="10"/>
  <c r="F45" i="10"/>
  <c r="Q42" i="10"/>
  <c r="P42" i="10"/>
  <c r="O42" i="10"/>
  <c r="N42" i="10"/>
  <c r="M42" i="10"/>
  <c r="L42" i="10"/>
  <c r="K42" i="10"/>
  <c r="J42" i="10"/>
  <c r="I42" i="10"/>
  <c r="H42" i="10"/>
  <c r="G42" i="10"/>
  <c r="F42" i="10"/>
  <c r="R19" i="10"/>
  <c r="R45" i="10" s="1"/>
  <c r="T45" i="10" s="1"/>
  <c r="R18" i="10"/>
  <c r="R42" i="10" s="1"/>
  <c r="T42" i="10" s="1"/>
  <c r="R17" i="10"/>
  <c r="R16" i="10"/>
  <c r="W10" i="10"/>
  <c r="W9" i="10"/>
  <c r="W8" i="10"/>
  <c r="W5" i="10"/>
  <c r="M33" i="10" l="1"/>
  <c r="M35" i="10"/>
  <c r="M37" i="10"/>
  <c r="N35" i="10"/>
  <c r="N33" i="10"/>
  <c r="N37" i="10"/>
  <c r="Q37" i="10"/>
  <c r="Q33" i="10"/>
  <c r="Q35" i="10"/>
  <c r="P35" i="10"/>
  <c r="P37" i="10"/>
  <c r="P33" i="10"/>
  <c r="H33" i="10"/>
  <c r="H35" i="10"/>
  <c r="H37" i="10"/>
  <c r="I33" i="10"/>
  <c r="I35" i="10"/>
  <c r="I37" i="10"/>
  <c r="J35" i="10"/>
  <c r="J33" i="10"/>
  <c r="J37" i="10"/>
  <c r="O33" i="10"/>
  <c r="O35" i="10"/>
  <c r="O37" i="10"/>
  <c r="G33" i="10"/>
  <c r="G35" i="10"/>
  <c r="G37" i="10"/>
  <c r="L33" i="10"/>
  <c r="L35" i="10"/>
  <c r="L37" i="10"/>
  <c r="K37" i="10"/>
  <c r="K33" i="10"/>
  <c r="K35" i="10"/>
  <c r="T17" i="10"/>
  <c r="T18" i="10"/>
  <c r="T19" i="10"/>
  <c r="T16" i="10"/>
  <c r="D4" i="6" l="1"/>
  <c r="D5" i="6"/>
  <c r="D6" i="6"/>
  <c r="D7" i="6"/>
  <c r="D8" i="6"/>
  <c r="D9" i="6"/>
  <c r="D10" i="6"/>
  <c r="D11" i="6"/>
  <c r="D12" i="6"/>
  <c r="D13" i="6"/>
  <c r="D3" i="6"/>
  <c r="D14" i="6" s="1"/>
  <c r="E14" i="6"/>
  <c r="F14" i="6"/>
  <c r="G14" i="6"/>
  <c r="I14" i="6"/>
  <c r="J14" i="6"/>
  <c r="K14" i="6"/>
  <c r="M14" i="6"/>
  <c r="N14" i="6"/>
  <c r="H14" i="6"/>
  <c r="N29" i="7"/>
  <c r="M29" i="7"/>
  <c r="L29" i="7"/>
  <c r="K29" i="7"/>
  <c r="J29" i="7"/>
  <c r="I29" i="7"/>
  <c r="H29" i="7"/>
  <c r="G29" i="7"/>
  <c r="F29" i="7"/>
  <c r="P15" i="7"/>
  <c r="C13" i="6" s="1"/>
  <c r="P14" i="7"/>
  <c r="C12" i="6" s="1"/>
  <c r="P13" i="7"/>
  <c r="C11" i="6" s="1"/>
  <c r="P12" i="7"/>
  <c r="C10" i="6" s="1"/>
  <c r="P11" i="7"/>
  <c r="C9" i="6" s="1"/>
  <c r="P10" i="7"/>
  <c r="C8" i="6" s="1"/>
  <c r="P9" i="7"/>
  <c r="C7" i="6" s="1"/>
  <c r="P7" i="7"/>
  <c r="C6" i="6" s="1"/>
  <c r="P6" i="7"/>
  <c r="C5" i="6" s="1"/>
  <c r="P5" i="7"/>
  <c r="C4" i="6" s="1"/>
  <c r="P4" i="7"/>
  <c r="P16" i="7" s="1"/>
  <c r="C3" i="6" l="1"/>
  <c r="C14" i="6" s="1"/>
  <c r="C11" i="7" l="1"/>
  <c r="C12" i="7"/>
  <c r="C13" i="7"/>
  <c r="C14" i="7"/>
  <c r="C15" i="7"/>
  <c r="C16" i="7"/>
  <c r="C17" i="7"/>
  <c r="C18" i="7"/>
  <c r="C19" i="7"/>
  <c r="C20" i="7"/>
  <c r="C21" i="7"/>
  <c r="C22" i="7"/>
  <c r="C23" i="7"/>
  <c r="C24" i="7"/>
  <c r="C25" i="7"/>
  <c r="C26" i="7"/>
  <c r="C27" i="7"/>
  <c r="C28" i="7"/>
  <c r="F33" i="7" l="1"/>
  <c r="L34" i="7"/>
  <c r="G33" i="7"/>
  <c r="M34" i="7"/>
  <c r="H33" i="7"/>
  <c r="N34" i="7"/>
  <c r="I33" i="7"/>
  <c r="J33" i="7"/>
  <c r="K33" i="7"/>
  <c r="L33" i="7"/>
  <c r="M33" i="7"/>
  <c r="N33" i="7"/>
  <c r="F34" i="7"/>
  <c r="G34" i="7"/>
  <c r="H34" i="7"/>
  <c r="I34" i="7"/>
  <c r="J34" i="7"/>
  <c r="K34" i="7"/>
  <c r="L36" i="7"/>
  <c r="I36" i="7"/>
  <c r="F36" i="7"/>
  <c r="J3" i="7"/>
  <c r="I3" i="7"/>
  <c r="H3" i="7"/>
  <c r="G3" i="7"/>
  <c r="F3" i="7"/>
  <c r="L84" i="3"/>
  <c r="L87" i="3" s="1"/>
  <c r="L73" i="3"/>
  <c r="F30" i="7" l="1"/>
  <c r="K84" i="3"/>
  <c r="K87" i="3" s="1"/>
  <c r="K73" i="3"/>
  <c r="L30" i="7" l="1"/>
  <c r="M30" i="7"/>
  <c r="I30" i="7"/>
  <c r="J30" i="7"/>
  <c r="G30" i="7"/>
  <c r="N30" i="7"/>
  <c r="H30" i="7"/>
  <c r="K30" i="7"/>
  <c r="J84" i="3"/>
  <c r="J87" i="3" s="1"/>
  <c r="J73" i="3"/>
  <c r="I73" i="3"/>
  <c r="H80" i="5"/>
  <c r="H81" i="5" s="1"/>
  <c r="H69" i="5"/>
  <c r="H70" i="5" s="1"/>
  <c r="L144" i="5"/>
  <c r="L145" i="5" s="1"/>
  <c r="O143" i="5"/>
  <c r="N143" i="5"/>
  <c r="M143" i="5"/>
  <c r="L143" i="5"/>
  <c r="K143" i="5"/>
  <c r="J143" i="5"/>
  <c r="I143" i="5"/>
  <c r="H143" i="5"/>
  <c r="G143" i="5"/>
  <c r="F143" i="5"/>
  <c r="E143" i="5"/>
  <c r="D143" i="5"/>
  <c r="O142" i="5"/>
  <c r="N142" i="5"/>
  <c r="M142" i="5"/>
  <c r="L142" i="5"/>
  <c r="K142" i="5"/>
  <c r="J142" i="5"/>
  <c r="I142" i="5"/>
  <c r="H142" i="5"/>
  <c r="G142" i="5"/>
  <c r="F142" i="5"/>
  <c r="P142" i="5" s="1"/>
  <c r="E142" i="5"/>
  <c r="D142" i="5"/>
  <c r="P141" i="5"/>
  <c r="O141" i="5"/>
  <c r="N141" i="5"/>
  <c r="M141" i="5"/>
  <c r="L141" i="5"/>
  <c r="K141" i="5"/>
  <c r="J141" i="5"/>
  <c r="I141" i="5"/>
  <c r="H141" i="5"/>
  <c r="G141" i="5"/>
  <c r="F141" i="5"/>
  <c r="E141" i="5"/>
  <c r="D141" i="5"/>
  <c r="O140" i="5"/>
  <c r="N140" i="5"/>
  <c r="M140" i="5"/>
  <c r="L140" i="5"/>
  <c r="K140" i="5"/>
  <c r="J140" i="5"/>
  <c r="I140" i="5"/>
  <c r="H140" i="5"/>
  <c r="G140" i="5"/>
  <c r="F140" i="5"/>
  <c r="E140" i="5"/>
  <c r="D140" i="5"/>
  <c r="O139" i="5"/>
  <c r="N139" i="5"/>
  <c r="M139" i="5"/>
  <c r="L139" i="5"/>
  <c r="K139" i="5"/>
  <c r="J139" i="5"/>
  <c r="I139" i="5"/>
  <c r="H139" i="5"/>
  <c r="G139" i="5"/>
  <c r="F139" i="5"/>
  <c r="E139" i="5"/>
  <c r="P139" i="5" s="1"/>
  <c r="D139" i="5"/>
  <c r="O138" i="5"/>
  <c r="N138" i="5"/>
  <c r="M138" i="5"/>
  <c r="L138" i="5"/>
  <c r="K138" i="5"/>
  <c r="J138" i="5"/>
  <c r="I138" i="5"/>
  <c r="H138" i="5"/>
  <c r="G138" i="5"/>
  <c r="F138" i="5"/>
  <c r="E138" i="5"/>
  <c r="D138" i="5"/>
  <c r="P138" i="5" s="1"/>
  <c r="O137" i="5"/>
  <c r="N137" i="5"/>
  <c r="M137" i="5"/>
  <c r="L137" i="5"/>
  <c r="K137" i="5"/>
  <c r="J137" i="5"/>
  <c r="I137" i="5"/>
  <c r="H137" i="5"/>
  <c r="G137" i="5"/>
  <c r="F137" i="5"/>
  <c r="E137" i="5"/>
  <c r="D137" i="5"/>
  <c r="P137" i="5" s="1"/>
  <c r="O136" i="5"/>
  <c r="O144" i="5" s="1"/>
  <c r="O145" i="5" s="1"/>
  <c r="N136" i="5"/>
  <c r="M136" i="5"/>
  <c r="L136" i="5"/>
  <c r="K136" i="5"/>
  <c r="J136" i="5"/>
  <c r="I136" i="5"/>
  <c r="H136" i="5"/>
  <c r="G136" i="5"/>
  <c r="G144" i="5" s="1"/>
  <c r="G145" i="5" s="1"/>
  <c r="F136" i="5"/>
  <c r="E136" i="5"/>
  <c r="D136" i="5"/>
  <c r="O135" i="5"/>
  <c r="N135" i="5"/>
  <c r="N144" i="5" s="1"/>
  <c r="N145" i="5" s="1"/>
  <c r="M135" i="5"/>
  <c r="M144" i="5" s="1"/>
  <c r="M145" i="5" s="1"/>
  <c r="L135" i="5"/>
  <c r="K135" i="5"/>
  <c r="K144" i="5" s="1"/>
  <c r="K145" i="5" s="1"/>
  <c r="J135" i="5"/>
  <c r="J144" i="5" s="1"/>
  <c r="J145" i="5" s="1"/>
  <c r="I135" i="5"/>
  <c r="H135" i="5"/>
  <c r="G135" i="5"/>
  <c r="F135" i="5"/>
  <c r="F144" i="5" s="1"/>
  <c r="F145" i="5" s="1"/>
  <c r="E135" i="5"/>
  <c r="E144" i="5" s="1"/>
  <c r="E145" i="5" s="1"/>
  <c r="D135" i="5"/>
  <c r="D144" i="5" s="1"/>
  <c r="D145" i="5" s="1"/>
  <c r="O132" i="5"/>
  <c r="N132" i="5"/>
  <c r="M132" i="5"/>
  <c r="L132" i="5"/>
  <c r="K132" i="5"/>
  <c r="J132" i="5"/>
  <c r="I132" i="5"/>
  <c r="H132" i="5"/>
  <c r="G132" i="5"/>
  <c r="F132" i="5"/>
  <c r="E132" i="5"/>
  <c r="D132" i="5"/>
  <c r="P132" i="5" s="1"/>
  <c r="O131" i="5"/>
  <c r="N131" i="5"/>
  <c r="M131" i="5"/>
  <c r="L131" i="5"/>
  <c r="K131" i="5"/>
  <c r="J131" i="5"/>
  <c r="I131" i="5"/>
  <c r="H131" i="5"/>
  <c r="G131" i="5"/>
  <c r="F131" i="5"/>
  <c r="E131" i="5"/>
  <c r="D131" i="5"/>
  <c r="O130" i="5"/>
  <c r="N130" i="5"/>
  <c r="M130" i="5"/>
  <c r="L130" i="5"/>
  <c r="K130" i="5"/>
  <c r="J130" i="5"/>
  <c r="I130" i="5"/>
  <c r="H130" i="5"/>
  <c r="G130" i="5"/>
  <c r="F130" i="5"/>
  <c r="E130" i="5"/>
  <c r="D130" i="5"/>
  <c r="P130" i="5" s="1"/>
  <c r="O129" i="5"/>
  <c r="N129" i="5"/>
  <c r="M129" i="5"/>
  <c r="L129" i="5"/>
  <c r="K129" i="5"/>
  <c r="J129" i="5"/>
  <c r="I129" i="5"/>
  <c r="H129" i="5"/>
  <c r="G129" i="5"/>
  <c r="F129" i="5"/>
  <c r="E129" i="5"/>
  <c r="D129" i="5"/>
  <c r="P129" i="5" s="1"/>
  <c r="O128" i="5"/>
  <c r="N128" i="5"/>
  <c r="M128" i="5"/>
  <c r="L128" i="5"/>
  <c r="K128" i="5"/>
  <c r="J128" i="5"/>
  <c r="I128" i="5"/>
  <c r="H128" i="5"/>
  <c r="P128" i="5" s="1"/>
  <c r="G128" i="5"/>
  <c r="F128" i="5"/>
  <c r="E128" i="5"/>
  <c r="D128" i="5"/>
  <c r="O127" i="5"/>
  <c r="N127" i="5"/>
  <c r="M127" i="5"/>
  <c r="L127" i="5"/>
  <c r="K127" i="5"/>
  <c r="J127" i="5"/>
  <c r="I127" i="5"/>
  <c r="H127" i="5"/>
  <c r="G127" i="5"/>
  <c r="F127" i="5"/>
  <c r="E127" i="5"/>
  <c r="D127" i="5"/>
  <c r="P127" i="5" s="1"/>
  <c r="O126" i="5"/>
  <c r="N126" i="5"/>
  <c r="M126" i="5"/>
  <c r="L126" i="5"/>
  <c r="K126" i="5"/>
  <c r="J126" i="5"/>
  <c r="I126" i="5"/>
  <c r="H126" i="5"/>
  <c r="G126" i="5"/>
  <c r="F126" i="5"/>
  <c r="P126" i="5" s="1"/>
  <c r="E126" i="5"/>
  <c r="D126" i="5"/>
  <c r="O125" i="5"/>
  <c r="O133" i="5" s="1"/>
  <c r="O134" i="5" s="1"/>
  <c r="N125" i="5"/>
  <c r="N133" i="5" s="1"/>
  <c r="N134" i="5" s="1"/>
  <c r="M125" i="5"/>
  <c r="L125" i="5"/>
  <c r="K125" i="5"/>
  <c r="J125" i="5"/>
  <c r="I125" i="5"/>
  <c r="H125" i="5"/>
  <c r="H133" i="5" s="1"/>
  <c r="H134" i="5" s="1"/>
  <c r="G125" i="5"/>
  <c r="P125" i="5" s="1"/>
  <c r="F125" i="5"/>
  <c r="F133" i="5" s="1"/>
  <c r="F134" i="5" s="1"/>
  <c r="E125" i="5"/>
  <c r="D125" i="5"/>
  <c r="O124" i="5"/>
  <c r="N124" i="5"/>
  <c r="M124" i="5"/>
  <c r="M133" i="5" s="1"/>
  <c r="M134" i="5" s="1"/>
  <c r="L124" i="5"/>
  <c r="L133" i="5" s="1"/>
  <c r="L134" i="5" s="1"/>
  <c r="K124" i="5"/>
  <c r="K133" i="5" s="1"/>
  <c r="K134" i="5" s="1"/>
  <c r="J124" i="5"/>
  <c r="J133" i="5" s="1"/>
  <c r="J134" i="5" s="1"/>
  <c r="I124" i="5"/>
  <c r="H124" i="5"/>
  <c r="G124" i="5"/>
  <c r="F124" i="5"/>
  <c r="E124" i="5"/>
  <c r="E133" i="5" s="1"/>
  <c r="E134" i="5" s="1"/>
  <c r="D124" i="5"/>
  <c r="D133" i="5" s="1"/>
  <c r="D134" i="5" s="1"/>
  <c r="N85" i="5"/>
  <c r="M85" i="5"/>
  <c r="L85" i="5"/>
  <c r="K85" i="5"/>
  <c r="J85" i="5"/>
  <c r="I85" i="5"/>
  <c r="H85" i="5"/>
  <c r="G85" i="5"/>
  <c r="F85" i="5"/>
  <c r="E85" i="5"/>
  <c r="D85" i="5"/>
  <c r="C85" i="5"/>
  <c r="Q84" i="5"/>
  <c r="Q85" i="5" s="1"/>
  <c r="O84" i="5"/>
  <c r="N83" i="5"/>
  <c r="M83" i="5"/>
  <c r="L83" i="5"/>
  <c r="O82" i="5"/>
  <c r="N81" i="5"/>
  <c r="M81" i="5"/>
  <c r="L81" i="5"/>
  <c r="K81" i="5"/>
  <c r="J81" i="5"/>
  <c r="I81" i="5"/>
  <c r="E81" i="5"/>
  <c r="D81" i="5"/>
  <c r="C81" i="5"/>
  <c r="G80" i="5"/>
  <c r="G81" i="5" s="1"/>
  <c r="F80" i="5"/>
  <c r="F81" i="5" s="1"/>
  <c r="E80" i="5"/>
  <c r="D80" i="5"/>
  <c r="C80" i="5"/>
  <c r="N79" i="5"/>
  <c r="M79" i="5"/>
  <c r="L79" i="5"/>
  <c r="K79" i="5"/>
  <c r="J79" i="5"/>
  <c r="I79" i="5"/>
  <c r="H79" i="5"/>
  <c r="G79" i="5"/>
  <c r="F79" i="5"/>
  <c r="E79" i="5"/>
  <c r="D79" i="5"/>
  <c r="C79" i="5"/>
  <c r="Q78" i="5"/>
  <c r="O78" i="5"/>
  <c r="Q77" i="5"/>
  <c r="Q79" i="5" s="1"/>
  <c r="O77" i="5"/>
  <c r="N74" i="5"/>
  <c r="M74" i="5"/>
  <c r="L74" i="5"/>
  <c r="K74" i="5"/>
  <c r="J74" i="5"/>
  <c r="I74" i="5"/>
  <c r="H74" i="5"/>
  <c r="G74" i="5"/>
  <c r="F74" i="5"/>
  <c r="E74" i="5"/>
  <c r="D74" i="5"/>
  <c r="C74" i="5"/>
  <c r="Q73" i="5"/>
  <c r="Q74" i="5" s="1"/>
  <c r="O73" i="5"/>
  <c r="N72" i="5"/>
  <c r="M72" i="5"/>
  <c r="L72" i="5"/>
  <c r="O71" i="5"/>
  <c r="N70" i="5"/>
  <c r="M70" i="5"/>
  <c r="L70" i="5"/>
  <c r="K70" i="5"/>
  <c r="J70" i="5"/>
  <c r="I70" i="5"/>
  <c r="G70" i="5"/>
  <c r="F70" i="5"/>
  <c r="E70" i="5"/>
  <c r="G69" i="5"/>
  <c r="F69" i="5"/>
  <c r="E69" i="5"/>
  <c r="D69" i="5"/>
  <c r="C69" i="5"/>
  <c r="C70" i="5" s="1"/>
  <c r="N68" i="5"/>
  <c r="M68" i="5"/>
  <c r="L68" i="5"/>
  <c r="K68" i="5"/>
  <c r="J68" i="5"/>
  <c r="I68" i="5"/>
  <c r="H68" i="5"/>
  <c r="G68" i="5"/>
  <c r="F68" i="5"/>
  <c r="E68" i="5"/>
  <c r="D68" i="5"/>
  <c r="C68" i="5"/>
  <c r="Q67" i="5"/>
  <c r="Q68" i="5" s="1"/>
  <c r="O67" i="5"/>
  <c r="Q66" i="5"/>
  <c r="O66" i="5"/>
  <c r="L31" i="5"/>
  <c r="K31" i="5"/>
  <c r="H31" i="5"/>
  <c r="G31" i="5"/>
  <c r="M30" i="5"/>
  <c r="I30" i="5"/>
  <c r="M29" i="5"/>
  <c r="I29" i="5"/>
  <c r="M28" i="5"/>
  <c r="M31" i="5" s="1"/>
  <c r="I28" i="5"/>
  <c r="I31" i="5" s="1"/>
  <c r="L13" i="5"/>
  <c r="F13" i="5"/>
  <c r="L8" i="5"/>
  <c r="F8" i="5"/>
  <c r="I87" i="3" l="1"/>
  <c r="O84" i="3"/>
  <c r="O87" i="3" s="1"/>
  <c r="O73" i="3"/>
  <c r="G76" i="3"/>
  <c r="P143" i="5"/>
  <c r="I144" i="5"/>
  <c r="I145" i="5" s="1"/>
  <c r="I133" i="5"/>
  <c r="I134" i="5" s="1"/>
  <c r="P131" i="5"/>
  <c r="O68" i="5"/>
  <c r="O80" i="5"/>
  <c r="O81" i="5" s="1"/>
  <c r="O79" i="5"/>
  <c r="O69" i="5"/>
  <c r="O70" i="5" s="1"/>
  <c r="O85" i="5"/>
  <c r="H144" i="5"/>
  <c r="H145" i="5" s="1"/>
  <c r="P140" i="5"/>
  <c r="E29" i="5"/>
  <c r="Q69" i="5"/>
  <c r="O74" i="5"/>
  <c r="P124" i="5"/>
  <c r="D70" i="5"/>
  <c r="Q80" i="5"/>
  <c r="G133" i="5"/>
  <c r="G134" i="5" s="1"/>
  <c r="P136" i="5"/>
  <c r="P135" i="5"/>
  <c r="P133" i="5" l="1"/>
  <c r="P134" i="5" s="1"/>
  <c r="P144" i="5"/>
  <c r="P145" i="5" s="1"/>
  <c r="E134" i="3"/>
  <c r="D134" i="3"/>
  <c r="E145" i="3"/>
  <c r="F145" i="3"/>
  <c r="G145" i="3"/>
  <c r="H145" i="3"/>
  <c r="I145" i="3"/>
  <c r="J145" i="3"/>
  <c r="K145" i="3"/>
  <c r="L145" i="3"/>
  <c r="M145" i="3"/>
  <c r="N145" i="3"/>
  <c r="O145" i="3"/>
  <c r="D145" i="3"/>
  <c r="E142" i="3"/>
  <c r="F142" i="3"/>
  <c r="G142" i="3"/>
  <c r="H142" i="3"/>
  <c r="I142" i="3"/>
  <c r="J142" i="3"/>
  <c r="K142" i="3"/>
  <c r="L142" i="3"/>
  <c r="M142" i="3"/>
  <c r="N142" i="3"/>
  <c r="O142" i="3"/>
  <c r="E143" i="3"/>
  <c r="F143" i="3"/>
  <c r="G143" i="3"/>
  <c r="H143" i="3"/>
  <c r="I143" i="3"/>
  <c r="J143" i="3"/>
  <c r="K143" i="3"/>
  <c r="L143" i="3"/>
  <c r="M143" i="3"/>
  <c r="N143" i="3"/>
  <c r="O143" i="3"/>
  <c r="D143" i="3"/>
  <c r="D142" i="3"/>
  <c r="D131" i="3"/>
  <c r="D132" i="3"/>
  <c r="E131" i="3"/>
  <c r="E132" i="3"/>
  <c r="D260" i="1" l="1"/>
  <c r="E260" i="1"/>
  <c r="F260" i="1"/>
  <c r="G260" i="1"/>
  <c r="H260" i="1"/>
  <c r="I260" i="1"/>
  <c r="J260" i="1"/>
  <c r="K260" i="1"/>
  <c r="L260" i="1"/>
  <c r="M260" i="1"/>
  <c r="N260" i="1"/>
  <c r="O260" i="1"/>
  <c r="D249" i="1"/>
  <c r="E249" i="1"/>
  <c r="F249" i="1"/>
  <c r="G249" i="1"/>
  <c r="H249" i="1"/>
  <c r="I249" i="1"/>
  <c r="J249" i="1"/>
  <c r="K249" i="1"/>
  <c r="L249" i="1"/>
  <c r="M249" i="1"/>
  <c r="N249" i="1"/>
  <c r="O249" i="1"/>
  <c r="D258" i="1"/>
  <c r="O259" i="1"/>
  <c r="N259" i="1"/>
  <c r="M259" i="1"/>
  <c r="L259" i="1"/>
  <c r="K259" i="1"/>
  <c r="J259" i="1"/>
  <c r="I259" i="1"/>
  <c r="H259" i="1"/>
  <c r="G259" i="1"/>
  <c r="F259" i="1"/>
  <c r="E259" i="1"/>
  <c r="D259" i="1"/>
  <c r="O258" i="1"/>
  <c r="N258" i="1"/>
  <c r="M258" i="1"/>
  <c r="L258" i="1"/>
  <c r="K258" i="1"/>
  <c r="J258" i="1"/>
  <c r="I258" i="1"/>
  <c r="H258" i="1"/>
  <c r="G258" i="1"/>
  <c r="F258" i="1"/>
  <c r="E258" i="1"/>
  <c r="E247" i="1"/>
  <c r="F247" i="1"/>
  <c r="G247" i="1"/>
  <c r="H247" i="1"/>
  <c r="I247" i="1"/>
  <c r="J247" i="1"/>
  <c r="K247" i="1"/>
  <c r="L247" i="1"/>
  <c r="M247" i="1"/>
  <c r="N247" i="1"/>
  <c r="O247" i="1"/>
  <c r="E248" i="1"/>
  <c r="F248" i="1"/>
  <c r="G248" i="1"/>
  <c r="H248" i="1"/>
  <c r="I248" i="1"/>
  <c r="J248" i="1"/>
  <c r="K248" i="1"/>
  <c r="L248" i="1"/>
  <c r="M248" i="1"/>
  <c r="N248" i="1"/>
  <c r="O248" i="1"/>
  <c r="D247" i="1"/>
  <c r="D248" i="1"/>
  <c r="E256" i="1"/>
  <c r="F256" i="1"/>
  <c r="G256" i="1"/>
  <c r="H256" i="1"/>
  <c r="I256" i="1"/>
  <c r="J256" i="1"/>
  <c r="K256" i="1"/>
  <c r="L256" i="1"/>
  <c r="M256" i="1"/>
  <c r="N256" i="1"/>
  <c r="O256" i="1"/>
  <c r="D256" i="1"/>
  <c r="E245" i="1"/>
  <c r="F245" i="1"/>
  <c r="G245" i="1"/>
  <c r="H245" i="1"/>
  <c r="I245" i="1"/>
  <c r="J245" i="1"/>
  <c r="K245" i="1"/>
  <c r="L245" i="1"/>
  <c r="M245" i="1"/>
  <c r="N245" i="1"/>
  <c r="O245" i="1"/>
  <c r="D245" i="1"/>
  <c r="Q37" i="1" l="1"/>
  <c r="Q38" i="1"/>
  <c r="O262" i="1"/>
  <c r="M262" i="1"/>
  <c r="K262" i="1"/>
  <c r="I262" i="1"/>
  <c r="G262" i="1"/>
  <c r="E262" i="1"/>
  <c r="O261" i="1"/>
  <c r="M261" i="1"/>
  <c r="K261" i="1"/>
  <c r="I261" i="1"/>
  <c r="G261" i="1"/>
  <c r="E261" i="1"/>
  <c r="P259" i="1"/>
  <c r="O257" i="1"/>
  <c r="N257" i="1"/>
  <c r="M257" i="1"/>
  <c r="L257" i="1"/>
  <c r="K257" i="1"/>
  <c r="J257" i="1"/>
  <c r="I257" i="1"/>
  <c r="H257" i="1"/>
  <c r="G257" i="1"/>
  <c r="F257" i="1"/>
  <c r="E257" i="1"/>
  <c r="D257" i="1"/>
  <c r="E264" i="1"/>
  <c r="E265" i="1" s="1"/>
  <c r="O252" i="1"/>
  <c r="M252" i="1"/>
  <c r="K252" i="1"/>
  <c r="I252" i="1"/>
  <c r="G252" i="1"/>
  <c r="E252" i="1"/>
  <c r="O251" i="1"/>
  <c r="M251" i="1"/>
  <c r="K251" i="1"/>
  <c r="I251" i="1"/>
  <c r="G251" i="1"/>
  <c r="E251" i="1"/>
  <c r="O250" i="1"/>
  <c r="M250" i="1"/>
  <c r="K250" i="1"/>
  <c r="I250" i="1"/>
  <c r="G250" i="1"/>
  <c r="E250" i="1"/>
  <c r="O246" i="1"/>
  <c r="N246" i="1"/>
  <c r="M246" i="1"/>
  <c r="L246" i="1"/>
  <c r="I246" i="1"/>
  <c r="H246" i="1"/>
  <c r="G246" i="1"/>
  <c r="F246" i="1"/>
  <c r="E246" i="1"/>
  <c r="D246" i="1"/>
  <c r="C207" i="4"/>
  <c r="D207" i="4"/>
  <c r="E207" i="4"/>
  <c r="F207" i="4"/>
  <c r="G207" i="4"/>
  <c r="H207" i="4"/>
  <c r="I207" i="4"/>
  <c r="J207" i="4"/>
  <c r="K207" i="4"/>
  <c r="L207" i="4"/>
  <c r="M207" i="4"/>
  <c r="N207" i="4"/>
  <c r="D206" i="4"/>
  <c r="E206" i="4"/>
  <c r="F206" i="4"/>
  <c r="G206" i="4"/>
  <c r="H206" i="4"/>
  <c r="I206" i="4"/>
  <c r="J206" i="4"/>
  <c r="K206" i="4"/>
  <c r="L206" i="4"/>
  <c r="M206" i="4"/>
  <c r="N206" i="4"/>
  <c r="C206" i="4"/>
  <c r="C196" i="4"/>
  <c r="D196" i="4"/>
  <c r="E196" i="4"/>
  <c r="F196" i="4"/>
  <c r="G196" i="4"/>
  <c r="H196" i="4"/>
  <c r="I196" i="4"/>
  <c r="J196" i="4"/>
  <c r="K196" i="4"/>
  <c r="L196" i="4"/>
  <c r="M196" i="4"/>
  <c r="N196" i="4"/>
  <c r="D195" i="4"/>
  <c r="E195" i="4"/>
  <c r="F195" i="4"/>
  <c r="G195" i="4"/>
  <c r="H195" i="4"/>
  <c r="I195" i="4"/>
  <c r="J195" i="4"/>
  <c r="K195" i="4"/>
  <c r="L195" i="4"/>
  <c r="M195" i="4"/>
  <c r="N195" i="4"/>
  <c r="C195" i="4"/>
  <c r="C197" i="4"/>
  <c r="D197" i="4"/>
  <c r="E197" i="4"/>
  <c r="F197" i="4"/>
  <c r="G197" i="4"/>
  <c r="H197" i="4"/>
  <c r="I197" i="4"/>
  <c r="J197" i="4"/>
  <c r="K197" i="4"/>
  <c r="L197" i="4"/>
  <c r="M197" i="4"/>
  <c r="N197" i="4"/>
  <c r="O113" i="4"/>
  <c r="C202" i="4" s="1"/>
  <c r="D202" i="4"/>
  <c r="E202" i="4"/>
  <c r="F202" i="4"/>
  <c r="G202" i="4"/>
  <c r="O144" i="4"/>
  <c r="O141" i="4"/>
  <c r="O138" i="4"/>
  <c r="L202" i="4" s="1"/>
  <c r="O135" i="4"/>
  <c r="O132" i="4"/>
  <c r="I202" i="4"/>
  <c r="H202" i="4"/>
  <c r="G144" i="4"/>
  <c r="G141" i="4"/>
  <c r="G138" i="4"/>
  <c r="G135" i="4"/>
  <c r="L191" i="4" s="1"/>
  <c r="G132" i="4"/>
  <c r="J191" i="4" s="1"/>
  <c r="G129" i="4"/>
  <c r="I191" i="4" s="1"/>
  <c r="G126" i="4"/>
  <c r="H191" i="4" s="1"/>
  <c r="G123" i="4"/>
  <c r="G191" i="4" s="1"/>
  <c r="G120" i="4"/>
  <c r="F191" i="4" s="1"/>
  <c r="G117" i="4"/>
  <c r="E191" i="4" s="1"/>
  <c r="G113" i="4"/>
  <c r="K191" i="4" s="1"/>
  <c r="N202" i="4"/>
  <c r="M202" i="4"/>
  <c r="K202" i="4"/>
  <c r="J202" i="4"/>
  <c r="N191" i="4"/>
  <c r="M191" i="4"/>
  <c r="G114" i="4"/>
  <c r="D191" i="4" s="1"/>
  <c r="D205" i="4"/>
  <c r="E205" i="4"/>
  <c r="F205" i="4"/>
  <c r="G205" i="4"/>
  <c r="H205" i="4"/>
  <c r="I205" i="4"/>
  <c r="J205" i="4"/>
  <c r="K205" i="4"/>
  <c r="L205" i="4"/>
  <c r="M205" i="4"/>
  <c r="N205" i="4"/>
  <c r="C205" i="4"/>
  <c r="D204" i="4"/>
  <c r="E204" i="4"/>
  <c r="F204" i="4"/>
  <c r="G204" i="4"/>
  <c r="H204" i="4"/>
  <c r="I204" i="4"/>
  <c r="J204" i="4"/>
  <c r="K204" i="4"/>
  <c r="L204" i="4"/>
  <c r="M204" i="4"/>
  <c r="N204" i="4"/>
  <c r="C204" i="4"/>
  <c r="D203" i="4"/>
  <c r="E203" i="4"/>
  <c r="F203" i="4"/>
  <c r="G203" i="4"/>
  <c r="H203" i="4"/>
  <c r="I203" i="4"/>
  <c r="J203" i="4"/>
  <c r="K203" i="4"/>
  <c r="L203" i="4"/>
  <c r="M203" i="4"/>
  <c r="N203" i="4"/>
  <c r="C203" i="4"/>
  <c r="O204" i="4"/>
  <c r="O205" i="4"/>
  <c r="D194" i="4"/>
  <c r="E194" i="4"/>
  <c r="F194" i="4"/>
  <c r="G194" i="4"/>
  <c r="H194" i="4"/>
  <c r="I194" i="4"/>
  <c r="J194" i="4"/>
  <c r="K194" i="4"/>
  <c r="L194" i="4"/>
  <c r="M194" i="4"/>
  <c r="N194" i="4"/>
  <c r="C194" i="4"/>
  <c r="O194" i="4" s="1"/>
  <c r="C193" i="4"/>
  <c r="D193" i="4"/>
  <c r="E193" i="4"/>
  <c r="F193" i="4"/>
  <c r="G193" i="4"/>
  <c r="H193" i="4"/>
  <c r="I193" i="4"/>
  <c r="J193" i="4"/>
  <c r="K193" i="4"/>
  <c r="L193" i="4"/>
  <c r="M193" i="4"/>
  <c r="N193" i="4"/>
  <c r="D192" i="4"/>
  <c r="E192" i="4"/>
  <c r="F192" i="4"/>
  <c r="G192" i="4"/>
  <c r="H192" i="4"/>
  <c r="I192" i="4"/>
  <c r="J192" i="4"/>
  <c r="K192" i="4"/>
  <c r="L192" i="4"/>
  <c r="M192" i="4"/>
  <c r="N192" i="4"/>
  <c r="C192" i="4"/>
  <c r="O203" i="4"/>
  <c r="N143" i="2"/>
  <c r="M143" i="2"/>
  <c r="L143" i="2"/>
  <c r="K143" i="2"/>
  <c r="J143" i="2"/>
  <c r="I143" i="2"/>
  <c r="H143" i="2"/>
  <c r="G143" i="2"/>
  <c r="F143" i="2"/>
  <c r="E143" i="2"/>
  <c r="D143" i="2"/>
  <c r="C143" i="2"/>
  <c r="N142" i="2"/>
  <c r="M142" i="2"/>
  <c r="L142" i="2"/>
  <c r="K142" i="2"/>
  <c r="J142" i="2"/>
  <c r="I142" i="2"/>
  <c r="H142" i="2"/>
  <c r="G142" i="2"/>
  <c r="F142" i="2"/>
  <c r="E142" i="2"/>
  <c r="D142" i="2"/>
  <c r="C142" i="2"/>
  <c r="N44" i="2"/>
  <c r="C44" i="2"/>
  <c r="N131" i="2"/>
  <c r="M131" i="2"/>
  <c r="L131" i="2"/>
  <c r="N132" i="2"/>
  <c r="M132" i="2"/>
  <c r="L132" i="2"/>
  <c r="K132" i="2"/>
  <c r="J132" i="2"/>
  <c r="I132" i="2"/>
  <c r="H132" i="2"/>
  <c r="G132" i="2"/>
  <c r="F132" i="2"/>
  <c r="K131" i="2"/>
  <c r="J131" i="2"/>
  <c r="I131" i="2"/>
  <c r="H131" i="2"/>
  <c r="G131" i="2"/>
  <c r="F131" i="2"/>
  <c r="E131" i="2"/>
  <c r="D131" i="2"/>
  <c r="C131" i="2"/>
  <c r="E132" i="2"/>
  <c r="D132" i="2"/>
  <c r="C132" i="2"/>
  <c r="C34" i="2"/>
  <c r="M264" i="1" l="1"/>
  <c r="M265" i="1" s="1"/>
  <c r="P247" i="1"/>
  <c r="I253" i="1"/>
  <c r="I254" i="1" s="1"/>
  <c r="G253" i="1"/>
  <c r="G254" i="1" s="1"/>
  <c r="O253" i="1"/>
  <c r="O254" i="1" s="1"/>
  <c r="P248" i="1"/>
  <c r="K264" i="1"/>
  <c r="K265" i="1" s="1"/>
  <c r="P258" i="1"/>
  <c r="P260" i="1"/>
  <c r="P256" i="1"/>
  <c r="O264" i="1"/>
  <c r="O265" i="1" s="1"/>
  <c r="P249" i="1"/>
  <c r="E253" i="1"/>
  <c r="E254" i="1" s="1"/>
  <c r="M253" i="1"/>
  <c r="M254" i="1" s="1"/>
  <c r="I264" i="1"/>
  <c r="I265" i="1" s="1"/>
  <c r="P257" i="1"/>
  <c r="G264" i="1"/>
  <c r="G265" i="1" s="1"/>
  <c r="P245" i="1"/>
  <c r="O193" i="4"/>
  <c r="C191" i="4"/>
  <c r="O192" i="4"/>
  <c r="O191" i="4"/>
  <c r="E147" i="3"/>
  <c r="F147" i="3"/>
  <c r="G147" i="3"/>
  <c r="J147" i="3"/>
  <c r="K147" i="3"/>
  <c r="L147" i="3"/>
  <c r="M147" i="3"/>
  <c r="N147" i="3"/>
  <c r="O147" i="3"/>
  <c r="D147" i="3"/>
  <c r="E146" i="3"/>
  <c r="F146" i="3"/>
  <c r="G146" i="3"/>
  <c r="H146" i="3"/>
  <c r="I146" i="3"/>
  <c r="J146" i="3"/>
  <c r="K146" i="3"/>
  <c r="L146" i="3"/>
  <c r="M146" i="3"/>
  <c r="N146" i="3"/>
  <c r="O146" i="3"/>
  <c r="D146" i="3"/>
  <c r="E144" i="3"/>
  <c r="F144" i="3"/>
  <c r="G144" i="3"/>
  <c r="H144" i="3"/>
  <c r="I144" i="3"/>
  <c r="J144" i="3"/>
  <c r="K144" i="3"/>
  <c r="L144" i="3"/>
  <c r="M144" i="3"/>
  <c r="N144" i="3"/>
  <c r="O144" i="3"/>
  <c r="D144" i="3"/>
  <c r="E141" i="3"/>
  <c r="F141" i="3"/>
  <c r="G141" i="3"/>
  <c r="H141" i="3"/>
  <c r="I141" i="3"/>
  <c r="J141" i="3"/>
  <c r="K141" i="3"/>
  <c r="L141" i="3"/>
  <c r="M141" i="3"/>
  <c r="N141" i="3"/>
  <c r="O141" i="3"/>
  <c r="D141" i="3"/>
  <c r="E140" i="3"/>
  <c r="F140" i="3"/>
  <c r="G140" i="3"/>
  <c r="H140" i="3"/>
  <c r="I140" i="3"/>
  <c r="J140" i="3"/>
  <c r="K140" i="3"/>
  <c r="L140" i="3"/>
  <c r="M140" i="3"/>
  <c r="N140" i="3"/>
  <c r="O140" i="3"/>
  <c r="D140" i="3"/>
  <c r="D139" i="3"/>
  <c r="E139" i="3"/>
  <c r="F139" i="3"/>
  <c r="G139" i="3"/>
  <c r="H139" i="3"/>
  <c r="I139" i="3"/>
  <c r="J139" i="3"/>
  <c r="K139" i="3"/>
  <c r="L139" i="3"/>
  <c r="M139" i="3"/>
  <c r="N139" i="3"/>
  <c r="O139" i="3"/>
  <c r="E129" i="3"/>
  <c r="D129" i="3"/>
  <c r="E133" i="3"/>
  <c r="D133" i="3"/>
  <c r="E135" i="3"/>
  <c r="E136" i="3"/>
  <c r="D136" i="3"/>
  <c r="D135" i="3"/>
  <c r="E130" i="3"/>
  <c r="D130" i="3"/>
  <c r="E128" i="3"/>
  <c r="D128" i="3"/>
  <c r="Q82" i="3"/>
  <c r="Q81" i="3"/>
  <c r="Q88" i="3"/>
  <c r="Q77" i="3"/>
  <c r="P142" i="3" l="1"/>
  <c r="R20" i="10"/>
  <c r="T20" i="10" s="1"/>
  <c r="G137" i="3"/>
  <c r="O148" i="3"/>
  <c r="O149" i="3" s="1"/>
  <c r="F148" i="3"/>
  <c r="F149" i="3" s="1"/>
  <c r="P145" i="3"/>
  <c r="P135" i="3"/>
  <c r="I148" i="3"/>
  <c r="I149" i="3" s="1"/>
  <c r="P136" i="3"/>
  <c r="P264" i="1"/>
  <c r="P265" i="1" s="1"/>
  <c r="P131" i="3"/>
  <c r="P134" i="3"/>
  <c r="P133" i="3"/>
  <c r="P132" i="3"/>
  <c r="K148" i="3"/>
  <c r="K149" i="3" s="1"/>
  <c r="D148" i="3"/>
  <c r="D149" i="3" s="1"/>
  <c r="M148" i="3"/>
  <c r="M149" i="3" s="1"/>
  <c r="E148" i="3"/>
  <c r="E149" i="3" s="1"/>
  <c r="L148" i="3"/>
  <c r="L149" i="3" s="1"/>
  <c r="P147" i="3"/>
  <c r="G148" i="3"/>
  <c r="G149" i="3" s="1"/>
  <c r="P146" i="3"/>
  <c r="N148" i="3"/>
  <c r="N149" i="3" s="1"/>
  <c r="P144" i="3"/>
  <c r="P143" i="3"/>
  <c r="J148" i="3"/>
  <c r="J149" i="3" s="1"/>
  <c r="P141" i="3"/>
  <c r="H148" i="3"/>
  <c r="H149" i="3" s="1"/>
  <c r="P140" i="3"/>
  <c r="Q89" i="3"/>
  <c r="N137" i="3"/>
  <c r="N138" i="3" s="1"/>
  <c r="I137" i="3"/>
  <c r="I138" i="3" s="1"/>
  <c r="K137" i="3"/>
  <c r="K138" i="3" s="1"/>
  <c r="J137" i="3"/>
  <c r="J138" i="3" s="1"/>
  <c r="P129" i="3"/>
  <c r="L137" i="3"/>
  <c r="L138" i="3" s="1"/>
  <c r="M137" i="3"/>
  <c r="M138" i="3" s="1"/>
  <c r="O137" i="3"/>
  <c r="O138" i="3" s="1"/>
  <c r="E137" i="3"/>
  <c r="E138" i="3" s="1"/>
  <c r="P128" i="3"/>
  <c r="Q83" i="3"/>
  <c r="Q73" i="3"/>
  <c r="Q78" i="3"/>
  <c r="Q84" i="3"/>
  <c r="P5" i="1"/>
  <c r="O5" i="1"/>
  <c r="N5" i="1"/>
  <c r="M5" i="1"/>
  <c r="L5" i="1"/>
  <c r="K5" i="1"/>
  <c r="J5" i="1"/>
  <c r="I5" i="1"/>
  <c r="H5" i="1"/>
  <c r="G5" i="1"/>
  <c r="F5" i="1"/>
  <c r="P4" i="1"/>
  <c r="O4" i="1"/>
  <c r="N4" i="1"/>
  <c r="M4" i="1"/>
  <c r="L4" i="1"/>
  <c r="K4" i="1"/>
  <c r="J4" i="1"/>
  <c r="I4" i="1"/>
  <c r="H4" i="1"/>
  <c r="G4" i="1"/>
  <c r="F4" i="1"/>
  <c r="E5" i="1"/>
  <c r="E4" i="1"/>
  <c r="N74" i="3"/>
  <c r="L74" i="3"/>
  <c r="N85" i="3"/>
  <c r="L85" i="3"/>
  <c r="K85" i="3"/>
  <c r="K74" i="3"/>
  <c r="J85" i="3"/>
  <c r="J74" i="3"/>
  <c r="M74" i="3" l="1"/>
  <c r="M85" i="3"/>
  <c r="M33" i="3" l="1"/>
  <c r="I74" i="3" l="1"/>
  <c r="G78" i="3" l="1"/>
  <c r="G72" i="3"/>
  <c r="H74" i="3"/>
  <c r="F85" i="3"/>
  <c r="F74" i="3"/>
  <c r="G74" i="3" l="1"/>
  <c r="E83" i="3"/>
  <c r="E89" i="3"/>
  <c r="E85" i="3" l="1"/>
  <c r="E74" i="3"/>
  <c r="D74" i="3" l="1"/>
  <c r="C74" i="3"/>
  <c r="D154" i="4" l="1"/>
  <c r="D190" i="4" s="1"/>
  <c r="D198" i="4" s="1"/>
  <c r="D199" i="4" s="1"/>
  <c r="D51" i="2"/>
  <c r="D52" i="2" s="1"/>
  <c r="F61" i="1" l="1"/>
  <c r="F250" i="1" s="1"/>
  <c r="F62" i="1"/>
  <c r="F251" i="1" s="1"/>
  <c r="F63" i="1"/>
  <c r="F252" i="1" s="1"/>
  <c r="F64" i="1"/>
  <c r="F65" i="1"/>
  <c r="F66" i="1"/>
  <c r="F67" i="1"/>
  <c r="F261" i="1" s="1"/>
  <c r="F264" i="1" s="1"/>
  <c r="F265" i="1" s="1"/>
  <c r="F68" i="1"/>
  <c r="F262" i="1" s="1"/>
  <c r="F69" i="1"/>
  <c r="F70" i="1"/>
  <c r="F71" i="1"/>
  <c r="F72" i="1"/>
  <c r="F73" i="1"/>
  <c r="F74" i="1"/>
  <c r="F75" i="1"/>
  <c r="F76" i="1"/>
  <c r="F77" i="1"/>
  <c r="F78" i="1"/>
  <c r="F79" i="1"/>
  <c r="F80" i="1"/>
  <c r="N78" i="3"/>
  <c r="M78" i="3"/>
  <c r="L78" i="3"/>
  <c r="K78" i="3"/>
  <c r="I78" i="3"/>
  <c r="H78" i="3"/>
  <c r="F78" i="3"/>
  <c r="E78" i="3"/>
  <c r="D78" i="3"/>
  <c r="C78" i="3"/>
  <c r="N76" i="3"/>
  <c r="M76" i="3"/>
  <c r="L76" i="3"/>
  <c r="N72" i="3"/>
  <c r="M72" i="3"/>
  <c r="K72" i="3"/>
  <c r="J72" i="3"/>
  <c r="I72" i="3"/>
  <c r="H72" i="3"/>
  <c r="F72" i="3"/>
  <c r="E72" i="3"/>
  <c r="D72" i="3"/>
  <c r="C72" i="3"/>
  <c r="C83" i="3"/>
  <c r="F253" i="1" l="1"/>
  <c r="F254" i="1" s="1"/>
  <c r="O74" i="3"/>
  <c r="O72" i="3"/>
  <c r="O75" i="3"/>
  <c r="O83" i="3"/>
  <c r="O78" i="3"/>
  <c r="T108" i="4"/>
  <c r="S108" i="4"/>
  <c r="R108" i="4"/>
  <c r="Q108" i="4"/>
  <c r="P108" i="4"/>
  <c r="O108" i="4"/>
  <c r="N108" i="4"/>
  <c r="M108" i="4"/>
  <c r="L108" i="4"/>
  <c r="K108" i="4"/>
  <c r="J108" i="4"/>
  <c r="I108" i="4"/>
  <c r="H108" i="4"/>
  <c r="G108" i="4"/>
  <c r="F108" i="4"/>
  <c r="E108" i="4"/>
  <c r="D108" i="4"/>
  <c r="C108" i="4"/>
  <c r="I109" i="4" l="1"/>
  <c r="Q109" i="4"/>
  <c r="C109" i="4"/>
  <c r="K109" i="4"/>
  <c r="O109" i="4"/>
  <c r="S109" i="4"/>
  <c r="G109" i="4"/>
  <c r="E109" i="4"/>
  <c r="M109" i="4"/>
  <c r="L61" i="1"/>
  <c r="L250" i="1" s="1"/>
  <c r="L62" i="1"/>
  <c r="L251" i="1" s="1"/>
  <c r="L63" i="1"/>
  <c r="L252" i="1" s="1"/>
  <c r="L64" i="1"/>
  <c r="L65" i="1"/>
  <c r="L66" i="1"/>
  <c r="L67" i="1"/>
  <c r="L261" i="1" s="1"/>
  <c r="L264" i="1" s="1"/>
  <c r="L265" i="1" s="1"/>
  <c r="L68" i="1"/>
  <c r="L262" i="1" s="1"/>
  <c r="L69" i="1"/>
  <c r="L70" i="1"/>
  <c r="L71" i="1"/>
  <c r="L72" i="1"/>
  <c r="L73" i="1"/>
  <c r="L74" i="1"/>
  <c r="L75" i="1"/>
  <c r="L76" i="1"/>
  <c r="L77" i="1"/>
  <c r="L253" i="1" l="1"/>
  <c r="L254" i="1" s="1"/>
  <c r="D68" i="4"/>
  <c r="E68" i="4"/>
  <c r="F68" i="4"/>
  <c r="G68" i="4"/>
  <c r="H68" i="4"/>
  <c r="I68" i="4"/>
  <c r="J68" i="4"/>
  <c r="K68" i="4"/>
  <c r="L68" i="4"/>
  <c r="M68" i="4"/>
  <c r="N68" i="4"/>
  <c r="O68" i="4"/>
  <c r="P68" i="4"/>
  <c r="Q68" i="4"/>
  <c r="R68" i="4"/>
  <c r="S68" i="4"/>
  <c r="T68" i="4"/>
  <c r="C68" i="4"/>
  <c r="D103" i="4"/>
  <c r="D104" i="4" s="1"/>
  <c r="D100" i="4"/>
  <c r="D101" i="4" s="1"/>
  <c r="D97" i="4"/>
  <c r="D98" i="4" s="1"/>
  <c r="D94" i="4"/>
  <c r="D95" i="4" s="1"/>
  <c r="D91" i="4"/>
  <c r="D92" i="4" s="1"/>
  <c r="D88" i="4"/>
  <c r="D89" i="4" s="1"/>
  <c r="P48" i="4"/>
  <c r="P49" i="4" s="1"/>
  <c r="Q48" i="4"/>
  <c r="Q49" i="4" s="1"/>
  <c r="P51" i="4"/>
  <c r="P52" i="4" s="1"/>
  <c r="Q51" i="4"/>
  <c r="Q52" i="4" s="1"/>
  <c r="P54" i="4"/>
  <c r="P55" i="4" s="1"/>
  <c r="Q54" i="4"/>
  <c r="Q55" i="4" s="1"/>
  <c r="P57" i="4"/>
  <c r="P58" i="4" s="1"/>
  <c r="Q57" i="4"/>
  <c r="Q58" i="4" s="1"/>
  <c r="P60" i="4"/>
  <c r="P61" i="4" s="1"/>
  <c r="Q60" i="4"/>
  <c r="Q61" i="4" s="1"/>
  <c r="P63" i="4"/>
  <c r="P64" i="4" s="1"/>
  <c r="Q63" i="4"/>
  <c r="Q64" i="4" s="1"/>
  <c r="P66" i="4"/>
  <c r="Q66" i="4"/>
  <c r="AA124" i="4"/>
  <c r="Z124" i="4"/>
  <c r="Y124" i="4"/>
  <c r="X124" i="4"/>
  <c r="W124" i="4"/>
  <c r="V124" i="4"/>
  <c r="U124" i="4"/>
  <c r="T124" i="4"/>
  <c r="AA123" i="4"/>
  <c r="Z123" i="4"/>
  <c r="Y123" i="4"/>
  <c r="X123" i="4"/>
  <c r="W123" i="4"/>
  <c r="V123" i="4"/>
  <c r="U123" i="4"/>
  <c r="T123" i="4"/>
  <c r="AA122" i="4"/>
  <c r="Z122" i="4"/>
  <c r="Y122" i="4"/>
  <c r="X122" i="4"/>
  <c r="W122" i="4"/>
  <c r="V122" i="4"/>
  <c r="U122" i="4"/>
  <c r="T122" i="4"/>
  <c r="AA121" i="4"/>
  <c r="Z121" i="4"/>
  <c r="Y121" i="4"/>
  <c r="X121" i="4"/>
  <c r="W121" i="4"/>
  <c r="V121" i="4"/>
  <c r="U121" i="4"/>
  <c r="T121" i="4"/>
  <c r="AA120" i="4"/>
  <c r="Z120" i="4"/>
  <c r="Y120" i="4"/>
  <c r="X120" i="4"/>
  <c r="W120" i="4"/>
  <c r="V120" i="4"/>
  <c r="U120" i="4"/>
  <c r="T120" i="4"/>
  <c r="AA119" i="4"/>
  <c r="Z119" i="4"/>
  <c r="Y119" i="4"/>
  <c r="X119" i="4"/>
  <c r="W119" i="4"/>
  <c r="V119" i="4"/>
  <c r="U119" i="4"/>
  <c r="T119" i="4"/>
  <c r="AA118" i="4"/>
  <c r="Z118" i="4"/>
  <c r="Y118" i="4"/>
  <c r="X118" i="4"/>
  <c r="W118" i="4"/>
  <c r="V118" i="4"/>
  <c r="U118" i="4"/>
  <c r="T118" i="4"/>
  <c r="AA117" i="4"/>
  <c r="Z117" i="4"/>
  <c r="Y117" i="4"/>
  <c r="X117" i="4"/>
  <c r="W117" i="4"/>
  <c r="V117" i="4"/>
  <c r="U117" i="4"/>
  <c r="T117" i="4"/>
  <c r="AA116" i="4"/>
  <c r="Z116" i="4"/>
  <c r="Y116" i="4"/>
  <c r="X116" i="4"/>
  <c r="W116" i="4"/>
  <c r="V116" i="4"/>
  <c r="U116" i="4"/>
  <c r="T116" i="4"/>
  <c r="AA115" i="4"/>
  <c r="Z115" i="4"/>
  <c r="Y115" i="4"/>
  <c r="X115" i="4"/>
  <c r="W115" i="4"/>
  <c r="V115" i="4"/>
  <c r="U115" i="4"/>
  <c r="T115" i="4"/>
  <c r="T114" i="4"/>
  <c r="U114" i="4"/>
  <c r="V114" i="4"/>
  <c r="W114" i="4"/>
  <c r="X114" i="4"/>
  <c r="Y114" i="4"/>
  <c r="Z114" i="4"/>
  <c r="AA114" i="4"/>
  <c r="AA113" i="4"/>
  <c r="Z113" i="4"/>
  <c r="Y113" i="4"/>
  <c r="X113" i="4"/>
  <c r="W113" i="4"/>
  <c r="V113" i="4"/>
  <c r="U113" i="4"/>
  <c r="T113" i="4"/>
  <c r="D36" i="2"/>
  <c r="D37" i="2" s="1"/>
  <c r="D39" i="2"/>
  <c r="D42" i="2"/>
  <c r="D43" i="2" s="1"/>
  <c r="D45" i="2"/>
  <c r="D46" i="2" s="1"/>
  <c r="D48" i="2"/>
  <c r="D49" i="2" s="1"/>
  <c r="D54" i="2"/>
  <c r="D55" i="2" s="1"/>
  <c r="D57" i="2"/>
  <c r="D58" i="2" s="1"/>
  <c r="D60" i="2"/>
  <c r="D61" i="2" s="1"/>
  <c r="D63" i="2"/>
  <c r="D64" i="2" s="1"/>
  <c r="D66" i="2"/>
  <c r="D67" i="2" s="1"/>
  <c r="Q122" i="2"/>
  <c r="P122" i="2"/>
  <c r="P12" i="2"/>
  <c r="N140" i="2" s="1"/>
  <c r="O12" i="2"/>
  <c r="M140" i="2" s="1"/>
  <c r="N12" i="2"/>
  <c r="L140" i="2" s="1"/>
  <c r="M12" i="2"/>
  <c r="K140" i="2" s="1"/>
  <c r="L12" i="2"/>
  <c r="J140" i="2" s="1"/>
  <c r="K12" i="2"/>
  <c r="I140" i="2" s="1"/>
  <c r="J12" i="2"/>
  <c r="H140" i="2" s="1"/>
  <c r="I12" i="2"/>
  <c r="G140" i="2" s="1"/>
  <c r="H12" i="2"/>
  <c r="F140" i="2" s="1"/>
  <c r="G12" i="2"/>
  <c r="E140" i="2" s="1"/>
  <c r="F12" i="2"/>
  <c r="D140" i="2" s="1"/>
  <c r="E12" i="2"/>
  <c r="C140" i="2" s="1"/>
  <c r="P11" i="2"/>
  <c r="N129" i="2" s="1"/>
  <c r="O11" i="2"/>
  <c r="M129" i="2" s="1"/>
  <c r="N11" i="2"/>
  <c r="L129" i="2" s="1"/>
  <c r="M11" i="2"/>
  <c r="K129" i="2" s="1"/>
  <c r="L11" i="2"/>
  <c r="J129" i="2" s="1"/>
  <c r="K11" i="2"/>
  <c r="I129" i="2" s="1"/>
  <c r="J11" i="2"/>
  <c r="H129" i="2" s="1"/>
  <c r="I11" i="2"/>
  <c r="G129" i="2" s="1"/>
  <c r="H11" i="2"/>
  <c r="F129" i="2" s="1"/>
  <c r="G11" i="2"/>
  <c r="E129" i="2" s="1"/>
  <c r="F11" i="2"/>
  <c r="D129" i="2" s="1"/>
  <c r="E11" i="2"/>
  <c r="C129" i="2" s="1"/>
  <c r="P8" i="2"/>
  <c r="O8" i="2"/>
  <c r="N8" i="2"/>
  <c r="M8" i="2"/>
  <c r="L8" i="2"/>
  <c r="K8" i="2"/>
  <c r="J8" i="2"/>
  <c r="I8" i="2"/>
  <c r="H8" i="2"/>
  <c r="G8" i="2"/>
  <c r="E8" i="2"/>
  <c r="P7" i="2"/>
  <c r="O7" i="2"/>
  <c r="N7" i="2"/>
  <c r="M7" i="2"/>
  <c r="L7" i="2"/>
  <c r="K7" i="2"/>
  <c r="J7" i="2"/>
  <c r="I7" i="2"/>
  <c r="H7" i="2"/>
  <c r="G7" i="2"/>
  <c r="F7" i="2"/>
  <c r="E7" i="2"/>
  <c r="D40" i="2" l="1"/>
  <c r="O140" i="2"/>
  <c r="O129" i="2"/>
  <c r="K69" i="4"/>
  <c r="S69" i="4"/>
  <c r="C69" i="4"/>
  <c r="E69" i="4"/>
  <c r="Q69" i="4"/>
  <c r="I69" i="4"/>
  <c r="O69" i="4"/>
  <c r="G69" i="4"/>
  <c r="M69" i="4"/>
  <c r="F67" i="2"/>
  <c r="F66" i="2"/>
  <c r="F64" i="2"/>
  <c r="F63" i="2"/>
  <c r="F61" i="2"/>
  <c r="F60" i="2"/>
  <c r="F58" i="2"/>
  <c r="F57" i="2"/>
  <c r="F55" i="2"/>
  <c r="F54" i="2"/>
  <c r="F52" i="2"/>
  <c r="F51" i="2"/>
  <c r="F49" i="2"/>
  <c r="F48" i="2"/>
  <c r="F46" i="2"/>
  <c r="F45" i="2"/>
  <c r="F43" i="2"/>
  <c r="F42" i="2"/>
  <c r="F40" i="2"/>
  <c r="F39" i="2"/>
  <c r="F37" i="2"/>
  <c r="F36" i="2"/>
  <c r="Q67" i="2"/>
  <c r="Q66" i="2"/>
  <c r="Q64" i="2"/>
  <c r="Q63" i="2"/>
  <c r="Q61" i="2"/>
  <c r="Q60" i="2"/>
  <c r="Q58" i="2"/>
  <c r="Q57" i="2"/>
  <c r="Q55" i="2"/>
  <c r="Q54" i="2"/>
  <c r="Q52" i="2"/>
  <c r="Q51" i="2"/>
  <c r="Q49" i="2"/>
  <c r="Q48" i="2"/>
  <c r="Q46" i="2"/>
  <c r="Q45" i="2"/>
  <c r="Q43" i="2"/>
  <c r="Q42" i="2"/>
  <c r="Q40" i="2"/>
  <c r="Q37" i="2"/>
  <c r="Q39" i="2"/>
  <c r="Q36" i="2"/>
  <c r="D68" i="2" l="1"/>
  <c r="D122" i="2"/>
  <c r="D123" i="2" s="1"/>
  <c r="C122" i="2"/>
  <c r="N65" i="2"/>
  <c r="N62" i="2"/>
  <c r="N59" i="2"/>
  <c r="N6" i="2" s="1"/>
  <c r="N56" i="2"/>
  <c r="O42" i="2"/>
  <c r="O43" i="2" s="1"/>
  <c r="O45" i="2"/>
  <c r="O46" i="2" s="1"/>
  <c r="O48" i="2"/>
  <c r="O49" i="2" s="1"/>
  <c r="O51" i="2"/>
  <c r="O52" i="2" s="1"/>
  <c r="O54" i="2"/>
  <c r="O55" i="2" s="1"/>
  <c r="O57" i="2"/>
  <c r="O58" i="2" s="1"/>
  <c r="O60" i="2"/>
  <c r="O61" i="2" s="1"/>
  <c r="O63" i="2"/>
  <c r="O64" i="2" s="1"/>
  <c r="O66" i="2"/>
  <c r="O67" i="2" s="1"/>
  <c r="C65" i="2"/>
  <c r="C62" i="2"/>
  <c r="C59" i="2"/>
  <c r="C56" i="2"/>
  <c r="C60" i="2" l="1"/>
  <c r="C61" i="2" s="1"/>
  <c r="C63" i="2"/>
  <c r="C64" i="2" s="1"/>
  <c r="C66" i="2"/>
  <c r="C67" i="2" s="1"/>
  <c r="P6" i="2"/>
  <c r="N66" i="2"/>
  <c r="N67" i="2" s="1"/>
  <c r="E65" i="2"/>
  <c r="P5" i="2"/>
  <c r="P9" i="2" s="1"/>
  <c r="C123" i="2"/>
  <c r="M6" i="2"/>
  <c r="E56" i="2"/>
  <c r="M5" i="2"/>
  <c r="C125" i="2"/>
  <c r="Q7" i="2"/>
  <c r="N5" i="2"/>
  <c r="E59" i="2"/>
  <c r="N63" i="2"/>
  <c r="N64" i="2" s="1"/>
  <c r="O6" i="2"/>
  <c r="E62" i="2"/>
  <c r="O5" i="2"/>
  <c r="N60" i="2"/>
  <c r="N61" i="2" s="1"/>
  <c r="P56" i="2"/>
  <c r="P59" i="2"/>
  <c r="P62" i="2"/>
  <c r="P65" i="2"/>
  <c r="E60" i="2" l="1"/>
  <c r="E61" i="2" s="1"/>
  <c r="P66" i="2"/>
  <c r="P67" i="2" s="1"/>
  <c r="E63" i="2"/>
  <c r="E64" i="2" s="1"/>
  <c r="E66" i="2"/>
  <c r="E67" i="2" s="1"/>
  <c r="P63" i="2"/>
  <c r="P64" i="2" s="1"/>
  <c r="P60" i="2"/>
  <c r="P61" i="2" s="1"/>
  <c r="O158" i="4" l="1"/>
  <c r="N158" i="4"/>
  <c r="N201" i="4" s="1"/>
  <c r="M158" i="4"/>
  <c r="M201" i="4" s="1"/>
  <c r="L158" i="4"/>
  <c r="L201" i="4" s="1"/>
  <c r="K158" i="4"/>
  <c r="K201" i="4" s="1"/>
  <c r="J158" i="4"/>
  <c r="J201" i="4" s="1"/>
  <c r="I158" i="4"/>
  <c r="I201" i="4" s="1"/>
  <c r="H158" i="4"/>
  <c r="H201" i="4" s="1"/>
  <c r="G158" i="4"/>
  <c r="G201" i="4" s="1"/>
  <c r="F158" i="4"/>
  <c r="F201" i="4" s="1"/>
  <c r="E158" i="4"/>
  <c r="E201" i="4" s="1"/>
  <c r="D158" i="4"/>
  <c r="D201" i="4" s="1"/>
  <c r="C158" i="4"/>
  <c r="C201" i="4" s="1"/>
  <c r="O157" i="4"/>
  <c r="O156" i="4"/>
  <c r="O155" i="4"/>
  <c r="O154" i="4"/>
  <c r="N154" i="4"/>
  <c r="N190" i="4" s="1"/>
  <c r="N198" i="4" s="1"/>
  <c r="N199" i="4" s="1"/>
  <c r="M154" i="4"/>
  <c r="M190" i="4" s="1"/>
  <c r="M198" i="4" s="1"/>
  <c r="M199" i="4" s="1"/>
  <c r="L154" i="4"/>
  <c r="L190" i="4" s="1"/>
  <c r="L198" i="4" s="1"/>
  <c r="L199" i="4" s="1"/>
  <c r="K154" i="4"/>
  <c r="K190" i="4" s="1"/>
  <c r="K198" i="4" s="1"/>
  <c r="K199" i="4" s="1"/>
  <c r="J154" i="4"/>
  <c r="J190" i="4" s="1"/>
  <c r="J198" i="4" s="1"/>
  <c r="J199" i="4" s="1"/>
  <c r="I154" i="4"/>
  <c r="I190" i="4" s="1"/>
  <c r="I198" i="4" s="1"/>
  <c r="I199" i="4" s="1"/>
  <c r="H154" i="4"/>
  <c r="H190" i="4" s="1"/>
  <c r="H198" i="4" s="1"/>
  <c r="H199" i="4" s="1"/>
  <c r="G154" i="4"/>
  <c r="G190" i="4" s="1"/>
  <c r="G198" i="4" s="1"/>
  <c r="G199" i="4" s="1"/>
  <c r="F154" i="4"/>
  <c r="F190" i="4" s="1"/>
  <c r="F198" i="4" s="1"/>
  <c r="F199" i="4" s="1"/>
  <c r="E154" i="4"/>
  <c r="E190" i="4" s="1"/>
  <c r="E198" i="4" s="1"/>
  <c r="E199" i="4" s="1"/>
  <c r="C154" i="4"/>
  <c r="O153" i="4"/>
  <c r="O152" i="4"/>
  <c r="O151" i="4"/>
  <c r="Q145" i="4"/>
  <c r="Q146" i="4" s="1"/>
  <c r="O145" i="4"/>
  <c r="O146" i="4" s="1"/>
  <c r="M145" i="4"/>
  <c r="M146" i="4" s="1"/>
  <c r="K145" i="4"/>
  <c r="K146" i="4" s="1"/>
  <c r="I145" i="4"/>
  <c r="I146" i="4" s="1"/>
  <c r="G145" i="4"/>
  <c r="G146" i="4" s="1"/>
  <c r="E145" i="4"/>
  <c r="E146" i="4" s="1"/>
  <c r="C145" i="4"/>
  <c r="C146" i="4" s="1"/>
  <c r="Q142" i="4"/>
  <c r="Q143" i="4" s="1"/>
  <c r="O142" i="4"/>
  <c r="O143" i="4" s="1"/>
  <c r="M142" i="4"/>
  <c r="M143" i="4" s="1"/>
  <c r="K142" i="4"/>
  <c r="K143" i="4" s="1"/>
  <c r="I142" i="4"/>
  <c r="I143" i="4" s="1"/>
  <c r="G142" i="4"/>
  <c r="G143" i="4" s="1"/>
  <c r="E142" i="4"/>
  <c r="E143" i="4" s="1"/>
  <c r="C142" i="4"/>
  <c r="C143" i="4" s="1"/>
  <c r="Q139" i="4"/>
  <c r="Q140" i="4" s="1"/>
  <c r="O139" i="4"/>
  <c r="O140" i="4" s="1"/>
  <c r="M139" i="4"/>
  <c r="M140" i="4" s="1"/>
  <c r="K139" i="4"/>
  <c r="K140" i="4" s="1"/>
  <c r="I139" i="4"/>
  <c r="I140" i="4" s="1"/>
  <c r="G139" i="4"/>
  <c r="G140" i="4" s="1"/>
  <c r="E139" i="4"/>
  <c r="E140" i="4" s="1"/>
  <c r="C139" i="4"/>
  <c r="C140" i="4" s="1"/>
  <c r="Q136" i="4"/>
  <c r="Q137" i="4" s="1"/>
  <c r="O136" i="4"/>
  <c r="O137" i="4" s="1"/>
  <c r="M136" i="4"/>
  <c r="M137" i="4" s="1"/>
  <c r="K136" i="4"/>
  <c r="K137" i="4" s="1"/>
  <c r="I136" i="4"/>
  <c r="I137" i="4" s="1"/>
  <c r="G136" i="4"/>
  <c r="G137" i="4" s="1"/>
  <c r="E136" i="4"/>
  <c r="E137" i="4" s="1"/>
  <c r="C136" i="4"/>
  <c r="C137" i="4" s="1"/>
  <c r="Q133" i="4"/>
  <c r="Q134" i="4" s="1"/>
  <c r="O133" i="4"/>
  <c r="O134" i="4" s="1"/>
  <c r="M133" i="4"/>
  <c r="K133" i="4"/>
  <c r="K134" i="4" s="1"/>
  <c r="I133" i="4"/>
  <c r="I134" i="4" s="1"/>
  <c r="G133" i="4"/>
  <c r="G134" i="4" s="1"/>
  <c r="E133" i="4"/>
  <c r="E134" i="4" s="1"/>
  <c r="C133" i="4"/>
  <c r="C134" i="4" s="1"/>
  <c r="I130" i="4"/>
  <c r="I131" i="4" s="1"/>
  <c r="G130" i="4"/>
  <c r="G131" i="4" s="1"/>
  <c r="E130" i="4"/>
  <c r="E131" i="4" s="1"/>
  <c r="C130" i="4"/>
  <c r="C131" i="4" s="1"/>
  <c r="I127" i="4"/>
  <c r="I128" i="4" s="1"/>
  <c r="G127" i="4"/>
  <c r="G128" i="4" s="1"/>
  <c r="E127" i="4"/>
  <c r="E128" i="4" s="1"/>
  <c r="C127" i="4"/>
  <c r="C128" i="4" s="1"/>
  <c r="I124" i="4"/>
  <c r="G124" i="4"/>
  <c r="E124" i="4"/>
  <c r="C124" i="4"/>
  <c r="C125" i="4" s="1"/>
  <c r="I121" i="4"/>
  <c r="I122" i="4" s="1"/>
  <c r="G121" i="4"/>
  <c r="G122" i="4" s="1"/>
  <c r="E121" i="4"/>
  <c r="E122" i="4" s="1"/>
  <c r="C121" i="4"/>
  <c r="C122" i="4" s="1"/>
  <c r="I118" i="4"/>
  <c r="I119" i="4" s="1"/>
  <c r="G118" i="4"/>
  <c r="G119" i="4" s="1"/>
  <c r="E118" i="4"/>
  <c r="E119" i="4" s="1"/>
  <c r="C118" i="4"/>
  <c r="C119" i="4" s="1"/>
  <c r="I115" i="4"/>
  <c r="I116" i="4" s="1"/>
  <c r="G115" i="4"/>
  <c r="G116" i="4" s="1"/>
  <c r="E115" i="4"/>
  <c r="E116" i="4" s="1"/>
  <c r="C115" i="4"/>
  <c r="C116" i="4" s="1"/>
  <c r="T106" i="4"/>
  <c r="T107" i="4" s="1"/>
  <c r="S106" i="4"/>
  <c r="S107" i="4" s="1"/>
  <c r="R106" i="4"/>
  <c r="R107" i="4" s="1"/>
  <c r="Q106" i="4"/>
  <c r="Q107" i="4" s="1"/>
  <c r="P106" i="4"/>
  <c r="P107" i="4" s="1"/>
  <c r="O106" i="4"/>
  <c r="O107" i="4" s="1"/>
  <c r="N106" i="4"/>
  <c r="N107" i="4" s="1"/>
  <c r="M106" i="4"/>
  <c r="M107" i="4" s="1"/>
  <c r="L106" i="4"/>
  <c r="L107" i="4" s="1"/>
  <c r="K106" i="4"/>
  <c r="K107" i="4" s="1"/>
  <c r="J106" i="4"/>
  <c r="J107" i="4" s="1"/>
  <c r="I106" i="4"/>
  <c r="I107" i="4" s="1"/>
  <c r="H106" i="4"/>
  <c r="H107" i="4" s="1"/>
  <c r="G106" i="4"/>
  <c r="G107" i="4" s="1"/>
  <c r="F106" i="4"/>
  <c r="F107" i="4" s="1"/>
  <c r="E106" i="4"/>
  <c r="E107" i="4" s="1"/>
  <c r="D106" i="4"/>
  <c r="D107" i="4" s="1"/>
  <c r="C106" i="4"/>
  <c r="C107" i="4" s="1"/>
  <c r="T103" i="4"/>
  <c r="T104" i="4" s="1"/>
  <c r="S103" i="4"/>
  <c r="S104" i="4" s="1"/>
  <c r="R103" i="4"/>
  <c r="R104" i="4" s="1"/>
  <c r="Q103" i="4"/>
  <c r="Q104" i="4" s="1"/>
  <c r="P103" i="4"/>
  <c r="P104" i="4" s="1"/>
  <c r="O103" i="4"/>
  <c r="O104" i="4" s="1"/>
  <c r="N103" i="4"/>
  <c r="N104" i="4" s="1"/>
  <c r="M103" i="4"/>
  <c r="M104" i="4" s="1"/>
  <c r="L103" i="4"/>
  <c r="L104" i="4" s="1"/>
  <c r="K103" i="4"/>
  <c r="K104" i="4" s="1"/>
  <c r="J103" i="4"/>
  <c r="J104" i="4" s="1"/>
  <c r="I103" i="4"/>
  <c r="I104" i="4" s="1"/>
  <c r="H103" i="4"/>
  <c r="H104" i="4" s="1"/>
  <c r="G103" i="4"/>
  <c r="G104" i="4" s="1"/>
  <c r="F103" i="4"/>
  <c r="F104" i="4" s="1"/>
  <c r="E103" i="4"/>
  <c r="E104" i="4" s="1"/>
  <c r="C103" i="4"/>
  <c r="C104" i="4" s="1"/>
  <c r="T100" i="4"/>
  <c r="T101" i="4" s="1"/>
  <c r="S100" i="4"/>
  <c r="S101" i="4" s="1"/>
  <c r="R100" i="4"/>
  <c r="R101" i="4" s="1"/>
  <c r="Q100" i="4"/>
  <c r="Q101" i="4" s="1"/>
  <c r="P100" i="4"/>
  <c r="P101" i="4" s="1"/>
  <c r="O100" i="4"/>
  <c r="O101" i="4" s="1"/>
  <c r="N100" i="4"/>
  <c r="N101" i="4" s="1"/>
  <c r="M100" i="4"/>
  <c r="M101" i="4" s="1"/>
  <c r="L100" i="4"/>
  <c r="L101" i="4" s="1"/>
  <c r="K100" i="4"/>
  <c r="K101" i="4" s="1"/>
  <c r="J100" i="4"/>
  <c r="J101" i="4" s="1"/>
  <c r="I100" i="4"/>
  <c r="I101" i="4" s="1"/>
  <c r="H100" i="4"/>
  <c r="H101" i="4" s="1"/>
  <c r="G100" i="4"/>
  <c r="G101" i="4" s="1"/>
  <c r="F100" i="4"/>
  <c r="F101" i="4" s="1"/>
  <c r="E100" i="4"/>
  <c r="E101" i="4" s="1"/>
  <c r="C100" i="4"/>
  <c r="C101" i="4" s="1"/>
  <c r="T97" i="4"/>
  <c r="T98" i="4" s="1"/>
  <c r="S97" i="4"/>
  <c r="S98" i="4" s="1"/>
  <c r="R97" i="4"/>
  <c r="R98" i="4" s="1"/>
  <c r="Q97" i="4"/>
  <c r="Q98" i="4" s="1"/>
  <c r="P97" i="4"/>
  <c r="P98" i="4" s="1"/>
  <c r="O97" i="4"/>
  <c r="O98" i="4" s="1"/>
  <c r="N97" i="4"/>
  <c r="N98" i="4" s="1"/>
  <c r="M97" i="4"/>
  <c r="M98" i="4" s="1"/>
  <c r="L97" i="4"/>
  <c r="L98" i="4" s="1"/>
  <c r="K97" i="4"/>
  <c r="K98" i="4" s="1"/>
  <c r="J97" i="4"/>
  <c r="J98" i="4" s="1"/>
  <c r="I97" i="4"/>
  <c r="I98" i="4" s="1"/>
  <c r="H97" i="4"/>
  <c r="H98" i="4" s="1"/>
  <c r="G97" i="4"/>
  <c r="G98" i="4" s="1"/>
  <c r="F97" i="4"/>
  <c r="F98" i="4" s="1"/>
  <c r="E97" i="4"/>
  <c r="E98" i="4" s="1"/>
  <c r="C97" i="4"/>
  <c r="C98" i="4" s="1"/>
  <c r="T94" i="4"/>
  <c r="T95" i="4" s="1"/>
  <c r="S94" i="4"/>
  <c r="S95" i="4" s="1"/>
  <c r="R94" i="4"/>
  <c r="R95" i="4" s="1"/>
  <c r="Q94" i="4"/>
  <c r="Q95" i="4" s="1"/>
  <c r="P94" i="4"/>
  <c r="P95" i="4" s="1"/>
  <c r="O94" i="4"/>
  <c r="O95" i="4" s="1"/>
  <c r="N94" i="4"/>
  <c r="N95" i="4" s="1"/>
  <c r="M94" i="4"/>
  <c r="M95" i="4" s="1"/>
  <c r="L94" i="4"/>
  <c r="L95" i="4" s="1"/>
  <c r="K94" i="4"/>
  <c r="K95" i="4" s="1"/>
  <c r="J94" i="4"/>
  <c r="J95" i="4" s="1"/>
  <c r="I94" i="4"/>
  <c r="I95" i="4" s="1"/>
  <c r="H94" i="4"/>
  <c r="H95" i="4" s="1"/>
  <c r="G94" i="4"/>
  <c r="G95" i="4" s="1"/>
  <c r="F94" i="4"/>
  <c r="F95" i="4" s="1"/>
  <c r="E94" i="4"/>
  <c r="E95" i="4" s="1"/>
  <c r="C94" i="4"/>
  <c r="C95" i="4" s="1"/>
  <c r="T91" i="4"/>
  <c r="T92" i="4" s="1"/>
  <c r="S91" i="4"/>
  <c r="S92" i="4" s="1"/>
  <c r="R91" i="4"/>
  <c r="R92" i="4" s="1"/>
  <c r="Q91" i="4"/>
  <c r="P91" i="4"/>
  <c r="P92" i="4" s="1"/>
  <c r="O91" i="4"/>
  <c r="O92" i="4" s="1"/>
  <c r="N91" i="4"/>
  <c r="N92" i="4" s="1"/>
  <c r="M91" i="4"/>
  <c r="M92" i="4" s="1"/>
  <c r="L91" i="4"/>
  <c r="L92" i="4" s="1"/>
  <c r="K91" i="4"/>
  <c r="K92" i="4" s="1"/>
  <c r="J91" i="4"/>
  <c r="J92" i="4" s="1"/>
  <c r="I91" i="4"/>
  <c r="I92" i="4" s="1"/>
  <c r="H91" i="4"/>
  <c r="H92" i="4" s="1"/>
  <c r="G91" i="4"/>
  <c r="G92" i="4" s="1"/>
  <c r="F91" i="4"/>
  <c r="F92" i="4" s="1"/>
  <c r="E91" i="4"/>
  <c r="E92" i="4" s="1"/>
  <c r="C91" i="4"/>
  <c r="C92" i="4" s="1"/>
  <c r="T88" i="4"/>
  <c r="T89" i="4" s="1"/>
  <c r="S88" i="4"/>
  <c r="S89" i="4" s="1"/>
  <c r="R88" i="4"/>
  <c r="R89" i="4" s="1"/>
  <c r="Q88" i="4"/>
  <c r="Q89" i="4" s="1"/>
  <c r="P88" i="4"/>
  <c r="P89" i="4" s="1"/>
  <c r="O88" i="4"/>
  <c r="O89" i="4" s="1"/>
  <c r="N88" i="4"/>
  <c r="N89" i="4" s="1"/>
  <c r="M88" i="4"/>
  <c r="M89" i="4" s="1"/>
  <c r="L88" i="4"/>
  <c r="L89" i="4" s="1"/>
  <c r="K88" i="4"/>
  <c r="K89" i="4" s="1"/>
  <c r="J88" i="4"/>
  <c r="J89" i="4" s="1"/>
  <c r="I88" i="4"/>
  <c r="I89" i="4" s="1"/>
  <c r="H88" i="4"/>
  <c r="H89" i="4" s="1"/>
  <c r="G88" i="4"/>
  <c r="G89" i="4" s="1"/>
  <c r="F88" i="4"/>
  <c r="F89" i="4" s="1"/>
  <c r="E88" i="4"/>
  <c r="E89" i="4" s="1"/>
  <c r="C88" i="4"/>
  <c r="C89" i="4" s="1"/>
  <c r="N209" i="4"/>
  <c r="N210" i="4" s="1"/>
  <c r="K209" i="4"/>
  <c r="K210" i="4" s="1"/>
  <c r="J209" i="4"/>
  <c r="J210" i="4" s="1"/>
  <c r="F209" i="4"/>
  <c r="F210" i="4" s="1"/>
  <c r="E209" i="4"/>
  <c r="E210" i="4" s="1"/>
  <c r="C209" i="4"/>
  <c r="C210" i="4" s="1"/>
  <c r="Q67" i="4"/>
  <c r="T66" i="4"/>
  <c r="T67" i="4" s="1"/>
  <c r="S66" i="4"/>
  <c r="S67" i="4" s="1"/>
  <c r="R66" i="4"/>
  <c r="R67" i="4" s="1"/>
  <c r="P67" i="4"/>
  <c r="O66" i="4"/>
  <c r="O67" i="4" s="1"/>
  <c r="N66" i="4"/>
  <c r="N67" i="4" s="1"/>
  <c r="M66" i="4"/>
  <c r="M67" i="4" s="1"/>
  <c r="L66" i="4"/>
  <c r="L67" i="4" s="1"/>
  <c r="K66" i="4"/>
  <c r="K67" i="4" s="1"/>
  <c r="J66" i="4"/>
  <c r="J67" i="4" s="1"/>
  <c r="I66" i="4"/>
  <c r="I67" i="4" s="1"/>
  <c r="H66" i="4"/>
  <c r="H67" i="4" s="1"/>
  <c r="G66" i="4"/>
  <c r="G67" i="4" s="1"/>
  <c r="F66" i="4"/>
  <c r="F67" i="4" s="1"/>
  <c r="E66" i="4"/>
  <c r="E67" i="4" s="1"/>
  <c r="D66" i="4"/>
  <c r="D67" i="4" s="1"/>
  <c r="C66" i="4"/>
  <c r="C67" i="4" s="1"/>
  <c r="T63" i="4"/>
  <c r="T64" i="4" s="1"/>
  <c r="S63" i="4"/>
  <c r="S64" i="4" s="1"/>
  <c r="R63" i="4"/>
  <c r="R64" i="4" s="1"/>
  <c r="O63" i="4"/>
  <c r="O64" i="4" s="1"/>
  <c r="N63" i="4"/>
  <c r="N64" i="4" s="1"/>
  <c r="M63" i="4"/>
  <c r="M64" i="4" s="1"/>
  <c r="L63" i="4"/>
  <c r="L64" i="4" s="1"/>
  <c r="K63" i="4"/>
  <c r="K64" i="4" s="1"/>
  <c r="J63" i="4"/>
  <c r="J64" i="4" s="1"/>
  <c r="I63" i="4"/>
  <c r="I64" i="4" s="1"/>
  <c r="H63" i="4"/>
  <c r="H64" i="4" s="1"/>
  <c r="G63" i="4"/>
  <c r="G64" i="4" s="1"/>
  <c r="F63" i="4"/>
  <c r="F64" i="4" s="1"/>
  <c r="E63" i="4"/>
  <c r="E64" i="4" s="1"/>
  <c r="D63" i="4"/>
  <c r="D64" i="4" s="1"/>
  <c r="C63" i="4"/>
  <c r="C64" i="4" s="1"/>
  <c r="T60" i="4"/>
  <c r="T61" i="4" s="1"/>
  <c r="S60" i="4"/>
  <c r="S61" i="4" s="1"/>
  <c r="R60" i="4"/>
  <c r="R61" i="4" s="1"/>
  <c r="O60" i="4"/>
  <c r="O61" i="4" s="1"/>
  <c r="N60" i="4"/>
  <c r="N61" i="4" s="1"/>
  <c r="M60" i="4"/>
  <c r="M61" i="4" s="1"/>
  <c r="L60" i="4"/>
  <c r="L61" i="4" s="1"/>
  <c r="K60" i="4"/>
  <c r="K61" i="4" s="1"/>
  <c r="J60" i="4"/>
  <c r="J61" i="4" s="1"/>
  <c r="I60" i="4"/>
  <c r="I61" i="4" s="1"/>
  <c r="H60" i="4"/>
  <c r="H61" i="4" s="1"/>
  <c r="G60" i="4"/>
  <c r="G61" i="4" s="1"/>
  <c r="F60" i="4"/>
  <c r="F61" i="4" s="1"/>
  <c r="E60" i="4"/>
  <c r="E61" i="4" s="1"/>
  <c r="D60" i="4"/>
  <c r="D61" i="4" s="1"/>
  <c r="C60" i="4"/>
  <c r="C61" i="4" s="1"/>
  <c r="T57" i="4"/>
  <c r="T58" i="4" s="1"/>
  <c r="S57" i="4"/>
  <c r="S58" i="4" s="1"/>
  <c r="R57" i="4"/>
  <c r="R58" i="4" s="1"/>
  <c r="O57" i="4"/>
  <c r="O58" i="4" s="1"/>
  <c r="N57" i="4"/>
  <c r="N58" i="4" s="1"/>
  <c r="M57" i="4"/>
  <c r="M58" i="4" s="1"/>
  <c r="L57" i="4"/>
  <c r="L58" i="4" s="1"/>
  <c r="K57" i="4"/>
  <c r="K58" i="4" s="1"/>
  <c r="J57" i="4"/>
  <c r="J58" i="4" s="1"/>
  <c r="I57" i="4"/>
  <c r="I58" i="4" s="1"/>
  <c r="H57" i="4"/>
  <c r="H58" i="4" s="1"/>
  <c r="G57" i="4"/>
  <c r="G58" i="4" s="1"/>
  <c r="F57" i="4"/>
  <c r="F58" i="4" s="1"/>
  <c r="E57" i="4"/>
  <c r="E58" i="4" s="1"/>
  <c r="D57" i="4"/>
  <c r="D58" i="4" s="1"/>
  <c r="C57" i="4"/>
  <c r="C58" i="4" s="1"/>
  <c r="T54" i="4"/>
  <c r="T55" i="4" s="1"/>
  <c r="S54" i="4"/>
  <c r="S55" i="4" s="1"/>
  <c r="R54" i="4"/>
  <c r="R55" i="4" s="1"/>
  <c r="O54" i="4"/>
  <c r="O55" i="4" s="1"/>
  <c r="N54" i="4"/>
  <c r="N55" i="4" s="1"/>
  <c r="M54" i="4"/>
  <c r="M55" i="4" s="1"/>
  <c r="L54" i="4"/>
  <c r="L55" i="4" s="1"/>
  <c r="K54" i="4"/>
  <c r="K55" i="4" s="1"/>
  <c r="J54" i="4"/>
  <c r="J55" i="4" s="1"/>
  <c r="I54" i="4"/>
  <c r="I55" i="4" s="1"/>
  <c r="H54" i="4"/>
  <c r="H55" i="4" s="1"/>
  <c r="G54" i="4"/>
  <c r="G55" i="4" s="1"/>
  <c r="F54" i="4"/>
  <c r="F55" i="4" s="1"/>
  <c r="E54" i="4"/>
  <c r="E55" i="4" s="1"/>
  <c r="D54" i="4"/>
  <c r="D55" i="4" s="1"/>
  <c r="C54" i="4"/>
  <c r="C55" i="4" s="1"/>
  <c r="T51" i="4"/>
  <c r="T52" i="4" s="1"/>
  <c r="S51" i="4"/>
  <c r="S52" i="4" s="1"/>
  <c r="R51" i="4"/>
  <c r="R52" i="4" s="1"/>
  <c r="O51" i="4"/>
  <c r="O52" i="4" s="1"/>
  <c r="N51" i="4"/>
  <c r="N52" i="4" s="1"/>
  <c r="M51" i="4"/>
  <c r="M52" i="4" s="1"/>
  <c r="L51" i="4"/>
  <c r="L52" i="4" s="1"/>
  <c r="K51" i="4"/>
  <c r="K52" i="4" s="1"/>
  <c r="J51" i="4"/>
  <c r="J52" i="4" s="1"/>
  <c r="I51" i="4"/>
  <c r="I52" i="4" s="1"/>
  <c r="H51" i="4"/>
  <c r="H52" i="4" s="1"/>
  <c r="G51" i="4"/>
  <c r="G52" i="4" s="1"/>
  <c r="F51" i="4"/>
  <c r="F52" i="4" s="1"/>
  <c r="E51" i="4"/>
  <c r="E52" i="4" s="1"/>
  <c r="D51" i="4"/>
  <c r="D52" i="4" s="1"/>
  <c r="C51" i="4"/>
  <c r="C52" i="4" s="1"/>
  <c r="T48" i="4"/>
  <c r="T49" i="4" s="1"/>
  <c r="S48" i="4"/>
  <c r="S49" i="4" s="1"/>
  <c r="R48" i="4"/>
  <c r="R49" i="4" s="1"/>
  <c r="O48" i="4"/>
  <c r="O49" i="4" s="1"/>
  <c r="N48" i="4"/>
  <c r="N49" i="4" s="1"/>
  <c r="M48" i="4"/>
  <c r="M49" i="4" s="1"/>
  <c r="L48" i="4"/>
  <c r="L49" i="4" s="1"/>
  <c r="K48" i="4"/>
  <c r="K49" i="4" s="1"/>
  <c r="J48" i="4"/>
  <c r="J49" i="4" s="1"/>
  <c r="I48" i="4"/>
  <c r="I49" i="4" s="1"/>
  <c r="H48" i="4"/>
  <c r="H49" i="4" s="1"/>
  <c r="G48" i="4"/>
  <c r="G49" i="4" s="1"/>
  <c r="F48" i="4"/>
  <c r="F49" i="4" s="1"/>
  <c r="E48" i="4"/>
  <c r="E49" i="4" s="1"/>
  <c r="D48" i="4"/>
  <c r="D49" i="4" s="1"/>
  <c r="C48" i="4"/>
  <c r="C49" i="4" s="1"/>
  <c r="K83" i="3"/>
  <c r="L83" i="3"/>
  <c r="N53" i="2"/>
  <c r="N47" i="2"/>
  <c r="N41" i="2"/>
  <c r="N38" i="2"/>
  <c r="N35" i="2"/>
  <c r="N34" i="2"/>
  <c r="C50" i="2"/>
  <c r="C47" i="2"/>
  <c r="C38" i="2"/>
  <c r="L35" i="3"/>
  <c r="G138" i="3" s="1"/>
  <c r="K35" i="3"/>
  <c r="F137" i="3" s="1"/>
  <c r="F138" i="3" s="1"/>
  <c r="M34" i="3"/>
  <c r="I34" i="3"/>
  <c r="I33" i="3"/>
  <c r="M32" i="3"/>
  <c r="I32" i="3"/>
  <c r="H35" i="3"/>
  <c r="P10" i="2"/>
  <c r="N141" i="2" s="1"/>
  <c r="N149" i="2" s="1"/>
  <c r="N150" i="2" s="1"/>
  <c r="O10" i="2"/>
  <c r="M141" i="2" s="1"/>
  <c r="N10" i="2"/>
  <c r="L141" i="2" s="1"/>
  <c r="L149" i="2" s="1"/>
  <c r="L150" i="2" s="1"/>
  <c r="M10" i="2"/>
  <c r="K141" i="2" s="1"/>
  <c r="K149" i="2" s="1"/>
  <c r="K150" i="2" s="1"/>
  <c r="N130" i="2"/>
  <c r="N138" i="2" s="1"/>
  <c r="N139" i="2" s="1"/>
  <c r="O9" i="2"/>
  <c r="M130" i="2" s="1"/>
  <c r="N9" i="2"/>
  <c r="L130" i="2" s="1"/>
  <c r="L138" i="2" s="1"/>
  <c r="L139" i="2" s="1"/>
  <c r="M9" i="2"/>
  <c r="K130" i="2" s="1"/>
  <c r="K138" i="2" s="1"/>
  <c r="K139" i="2" s="1"/>
  <c r="N189" i="1"/>
  <c r="M189" i="1"/>
  <c r="L189" i="1"/>
  <c r="K189" i="1"/>
  <c r="J189" i="1"/>
  <c r="I189" i="1"/>
  <c r="H189" i="1"/>
  <c r="G189" i="1"/>
  <c r="F189" i="1"/>
  <c r="E189" i="1"/>
  <c r="D189" i="1"/>
  <c r="C189" i="1"/>
  <c r="N188" i="1"/>
  <c r="M188" i="1"/>
  <c r="L188" i="1"/>
  <c r="K188" i="1"/>
  <c r="J188" i="1"/>
  <c r="I188" i="1"/>
  <c r="H188" i="1"/>
  <c r="G188" i="1"/>
  <c r="F188" i="1"/>
  <c r="E188" i="1"/>
  <c r="D188" i="1"/>
  <c r="C188" i="1"/>
  <c r="N187" i="1"/>
  <c r="M187" i="1"/>
  <c r="L187" i="1"/>
  <c r="K187" i="1"/>
  <c r="J187" i="1"/>
  <c r="I187" i="1"/>
  <c r="H187" i="1"/>
  <c r="K246" i="1" s="1"/>
  <c r="K253" i="1" s="1"/>
  <c r="K254" i="1" s="1"/>
  <c r="G187" i="1"/>
  <c r="F187" i="1"/>
  <c r="E187" i="1"/>
  <c r="D187" i="1"/>
  <c r="C187" i="1"/>
  <c r="N186" i="1"/>
  <c r="M186" i="1"/>
  <c r="L186" i="1"/>
  <c r="K186" i="1"/>
  <c r="J186" i="1"/>
  <c r="I186" i="1"/>
  <c r="H186" i="1"/>
  <c r="G186" i="1"/>
  <c r="F186" i="1"/>
  <c r="E186" i="1"/>
  <c r="D186" i="1"/>
  <c r="C186" i="1"/>
  <c r="N185" i="1"/>
  <c r="M185" i="1"/>
  <c r="L185" i="1"/>
  <c r="K185" i="1"/>
  <c r="J185" i="1"/>
  <c r="I185" i="1"/>
  <c r="H185" i="1"/>
  <c r="G185" i="1"/>
  <c r="F185" i="1"/>
  <c r="E185" i="1"/>
  <c r="D185" i="1"/>
  <c r="C185" i="1"/>
  <c r="N184" i="1"/>
  <c r="M184" i="1"/>
  <c r="L184" i="1"/>
  <c r="K184" i="1"/>
  <c r="J184" i="1"/>
  <c r="I184" i="1"/>
  <c r="H184" i="1"/>
  <c r="J246" i="1" s="1"/>
  <c r="G184" i="1"/>
  <c r="F184" i="1"/>
  <c r="E184" i="1"/>
  <c r="D184" i="1"/>
  <c r="C184" i="1"/>
  <c r="Q180" i="1"/>
  <c r="O189" i="1" s="1"/>
  <c r="Q179" i="1"/>
  <c r="O188" i="1" s="1"/>
  <c r="Q178" i="1"/>
  <c r="O187" i="1" s="1"/>
  <c r="Q169" i="1"/>
  <c r="O186" i="1" s="1"/>
  <c r="Q168" i="1"/>
  <c r="O185" i="1" s="1"/>
  <c r="Q167" i="1"/>
  <c r="O184" i="1" s="1"/>
  <c r="T82" i="1"/>
  <c r="R82" i="1"/>
  <c r="P82" i="1"/>
  <c r="N82" i="1"/>
  <c r="L82" i="1"/>
  <c r="J82" i="1"/>
  <c r="H82" i="1"/>
  <c r="F82" i="1"/>
  <c r="D82" i="1"/>
  <c r="T81" i="1"/>
  <c r="R81" i="1"/>
  <c r="P81" i="1"/>
  <c r="N81" i="1"/>
  <c r="L81" i="1"/>
  <c r="J81" i="1"/>
  <c r="H81" i="1"/>
  <c r="F81" i="1"/>
  <c r="D81" i="1"/>
  <c r="T80" i="1"/>
  <c r="R80" i="1"/>
  <c r="P80" i="1"/>
  <c r="N80" i="1"/>
  <c r="L80" i="1"/>
  <c r="J80" i="1"/>
  <c r="H80" i="1"/>
  <c r="D80" i="1"/>
  <c r="T79" i="1"/>
  <c r="R79" i="1"/>
  <c r="P79" i="1"/>
  <c r="N79" i="1"/>
  <c r="L79" i="1"/>
  <c r="J79" i="1"/>
  <c r="H79" i="1"/>
  <c r="D79" i="1"/>
  <c r="T78" i="1"/>
  <c r="R78" i="1"/>
  <c r="P78" i="1"/>
  <c r="N78" i="1"/>
  <c r="L78" i="1"/>
  <c r="J78" i="1"/>
  <c r="H78" i="1"/>
  <c r="D78" i="1"/>
  <c r="T77" i="1"/>
  <c r="R77" i="1"/>
  <c r="P77" i="1"/>
  <c r="N77" i="1"/>
  <c r="J77" i="1"/>
  <c r="H77" i="1"/>
  <c r="D77" i="1"/>
  <c r="T76" i="1"/>
  <c r="R76" i="1"/>
  <c r="P76" i="1"/>
  <c r="N76" i="1"/>
  <c r="J76" i="1"/>
  <c r="H76" i="1"/>
  <c r="D76" i="1"/>
  <c r="T75" i="1"/>
  <c r="R75" i="1"/>
  <c r="P75" i="1"/>
  <c r="N75" i="1"/>
  <c r="J75" i="1"/>
  <c r="H75" i="1"/>
  <c r="D75" i="1"/>
  <c r="T74" i="1"/>
  <c r="R74" i="1"/>
  <c r="P74" i="1"/>
  <c r="N74" i="1"/>
  <c r="J74" i="1"/>
  <c r="H74" i="1"/>
  <c r="D74" i="1"/>
  <c r="T73" i="1"/>
  <c r="R73" i="1"/>
  <c r="P73" i="1"/>
  <c r="N73" i="1"/>
  <c r="J73" i="1"/>
  <c r="H73" i="1"/>
  <c r="D73" i="1"/>
  <c r="T72" i="1"/>
  <c r="R72" i="1"/>
  <c r="P72" i="1"/>
  <c r="N72" i="1"/>
  <c r="J72" i="1"/>
  <c r="H72" i="1"/>
  <c r="D72" i="1"/>
  <c r="T71" i="1"/>
  <c r="R71" i="1"/>
  <c r="P71" i="1"/>
  <c r="N71" i="1"/>
  <c r="J71" i="1"/>
  <c r="H71" i="1"/>
  <c r="D71" i="1"/>
  <c r="T70" i="1"/>
  <c r="R70" i="1"/>
  <c r="P70" i="1"/>
  <c r="N70" i="1"/>
  <c r="J70" i="1"/>
  <c r="H70" i="1"/>
  <c r="D70" i="1"/>
  <c r="T69" i="1"/>
  <c r="R69" i="1"/>
  <c r="P69" i="1"/>
  <c r="N69" i="1"/>
  <c r="J69" i="1"/>
  <c r="H69" i="1"/>
  <c r="D69" i="1"/>
  <c r="T68" i="1"/>
  <c r="R68" i="1"/>
  <c r="P68" i="1"/>
  <c r="N68" i="1"/>
  <c r="N262" i="1" s="1"/>
  <c r="J68" i="1"/>
  <c r="J262" i="1" s="1"/>
  <c r="H68" i="1"/>
  <c r="H262" i="1" s="1"/>
  <c r="D68" i="1"/>
  <c r="D262" i="1" s="1"/>
  <c r="T67" i="1"/>
  <c r="R67" i="1"/>
  <c r="P67" i="1"/>
  <c r="N67" i="1"/>
  <c r="N261" i="1" s="1"/>
  <c r="J67" i="1"/>
  <c r="J261" i="1" s="1"/>
  <c r="H67" i="1"/>
  <c r="H261" i="1" s="1"/>
  <c r="D67" i="1"/>
  <c r="D261" i="1" s="1"/>
  <c r="D264" i="1" s="1"/>
  <c r="D265" i="1" s="1"/>
  <c r="T66" i="1"/>
  <c r="R66" i="1"/>
  <c r="P66" i="1"/>
  <c r="N66" i="1"/>
  <c r="J66" i="1"/>
  <c r="H66" i="1"/>
  <c r="D66" i="1"/>
  <c r="T65" i="1"/>
  <c r="R65" i="1"/>
  <c r="P65" i="1"/>
  <c r="N65" i="1"/>
  <c r="J65" i="1"/>
  <c r="H65" i="1"/>
  <c r="D65" i="1"/>
  <c r="T64" i="1"/>
  <c r="R64" i="1"/>
  <c r="P64" i="1"/>
  <c r="N64" i="1"/>
  <c r="J64" i="1"/>
  <c r="H64" i="1"/>
  <c r="D64" i="1"/>
  <c r="T63" i="1"/>
  <c r="R63" i="1"/>
  <c r="P63" i="1"/>
  <c r="N63" i="1"/>
  <c r="N252" i="1" s="1"/>
  <c r="J63" i="1"/>
  <c r="J252" i="1" s="1"/>
  <c r="H63" i="1"/>
  <c r="H252" i="1" s="1"/>
  <c r="D63" i="1"/>
  <c r="D252" i="1" s="1"/>
  <c r="T62" i="1"/>
  <c r="R62" i="1"/>
  <c r="P62" i="1"/>
  <c r="N62" i="1"/>
  <c r="N251" i="1" s="1"/>
  <c r="J62" i="1"/>
  <c r="J251" i="1" s="1"/>
  <c r="H62" i="1"/>
  <c r="H251" i="1" s="1"/>
  <c r="D62" i="1"/>
  <c r="D251" i="1" s="1"/>
  <c r="T61" i="1"/>
  <c r="R61" i="1"/>
  <c r="P61" i="1"/>
  <c r="N61" i="1"/>
  <c r="N250" i="1" s="1"/>
  <c r="J61" i="1"/>
  <c r="J250" i="1" s="1"/>
  <c r="H61" i="1"/>
  <c r="H250" i="1" s="1"/>
  <c r="D61" i="1"/>
  <c r="D250" i="1" s="1"/>
  <c r="Q36" i="1"/>
  <c r="Q35" i="1"/>
  <c r="Q34" i="1"/>
  <c r="Q33" i="1"/>
  <c r="Q11" i="1"/>
  <c r="Q10" i="1"/>
  <c r="Q9" i="1"/>
  <c r="Q8" i="1"/>
  <c r="Q7" i="1"/>
  <c r="Q6" i="1"/>
  <c r="Q5" i="1"/>
  <c r="Q4" i="1"/>
  <c r="D253" i="1" l="1"/>
  <c r="D254" i="1" s="1"/>
  <c r="O36" i="2"/>
  <c r="O37" i="2" s="1"/>
  <c r="O68" i="2"/>
  <c r="F8" i="2"/>
  <c r="O39" i="2"/>
  <c r="O40" i="2" s="1"/>
  <c r="J264" i="1"/>
  <c r="J265" i="1" s="1"/>
  <c r="N264" i="1"/>
  <c r="N265" i="1" s="1"/>
  <c r="J253" i="1"/>
  <c r="J254" i="1" s="1"/>
  <c r="P246" i="1"/>
  <c r="P253" i="1" s="1"/>
  <c r="P254" i="1" s="1"/>
  <c r="N253" i="1"/>
  <c r="N254" i="1" s="1"/>
  <c r="H264" i="1"/>
  <c r="H265" i="1" s="1"/>
  <c r="H253" i="1"/>
  <c r="H254" i="1" s="1"/>
  <c r="H209" i="4"/>
  <c r="H210" i="4" s="1"/>
  <c r="O202" i="4"/>
  <c r="C190" i="4"/>
  <c r="M209" i="4"/>
  <c r="M210" i="4" s="1"/>
  <c r="L209" i="4"/>
  <c r="L210" i="4" s="1"/>
  <c r="G209" i="4"/>
  <c r="G210" i="4" s="1"/>
  <c r="I209" i="4"/>
  <c r="I210" i="4" s="1"/>
  <c r="C51" i="2"/>
  <c r="C52" i="2" s="1"/>
  <c r="N36" i="2"/>
  <c r="N37" i="2" s="1"/>
  <c r="P35" i="2"/>
  <c r="G6" i="2"/>
  <c r="G10" i="2" s="1"/>
  <c r="E141" i="2" s="1"/>
  <c r="E149" i="2" s="1"/>
  <c r="E150" i="2" s="1"/>
  <c r="P38" i="2"/>
  <c r="N39" i="2"/>
  <c r="C35" i="2"/>
  <c r="C39" i="2" s="1"/>
  <c r="C40" i="2" s="1"/>
  <c r="P41" i="2"/>
  <c r="N42" i="2"/>
  <c r="N43" i="2" s="1"/>
  <c r="H6" i="2"/>
  <c r="H10" i="2" s="1"/>
  <c r="F141" i="2" s="1"/>
  <c r="F149" i="2" s="1"/>
  <c r="F150" i="2" s="1"/>
  <c r="E5" i="2"/>
  <c r="E34" i="2"/>
  <c r="E38" i="2"/>
  <c r="O131" i="2" s="1"/>
  <c r="G5" i="2"/>
  <c r="G9" i="2" s="1"/>
  <c r="E130" i="2" s="1"/>
  <c r="E138" i="2" s="1"/>
  <c r="E139" i="2" s="1"/>
  <c r="N45" i="2"/>
  <c r="N46" i="2" s="1"/>
  <c r="P44" i="2"/>
  <c r="I6" i="2"/>
  <c r="I10" i="2" s="1"/>
  <c r="G141" i="2" s="1"/>
  <c r="G149" i="2" s="1"/>
  <c r="G150" i="2" s="1"/>
  <c r="C41" i="2"/>
  <c r="J6" i="2"/>
  <c r="J10" i="2" s="1"/>
  <c r="H141" i="2" s="1"/>
  <c r="H149" i="2" s="1"/>
  <c r="H150" i="2" s="1"/>
  <c r="N48" i="2"/>
  <c r="N49" i="2" s="1"/>
  <c r="M138" i="2" s="1"/>
  <c r="M139" i="2" s="1"/>
  <c r="P47" i="2"/>
  <c r="N50" i="2"/>
  <c r="E47" i="2"/>
  <c r="J5" i="2"/>
  <c r="J9" i="2" s="1"/>
  <c r="H130" i="2" s="1"/>
  <c r="H138" i="2" s="1"/>
  <c r="H139" i="2" s="1"/>
  <c r="P53" i="2"/>
  <c r="N57" i="2"/>
  <c r="N58" i="2" s="1"/>
  <c r="L6" i="2"/>
  <c r="L10" i="2" s="1"/>
  <c r="J141" i="2" s="1"/>
  <c r="J149" i="2" s="1"/>
  <c r="J150" i="2" s="1"/>
  <c r="K5" i="2"/>
  <c r="K9" i="2" s="1"/>
  <c r="I130" i="2" s="1"/>
  <c r="I138" i="2" s="1"/>
  <c r="I139" i="2" s="1"/>
  <c r="E50" i="2"/>
  <c r="E6" i="2"/>
  <c r="E10" i="2" s="1"/>
  <c r="C141" i="2" s="1"/>
  <c r="P34" i="2"/>
  <c r="C53" i="2"/>
  <c r="F6" i="2"/>
  <c r="F10" i="2" s="1"/>
  <c r="D141" i="2" s="1"/>
  <c r="I125" i="4"/>
  <c r="G125" i="4"/>
  <c r="E125" i="4"/>
  <c r="G85" i="3"/>
  <c r="I85" i="3"/>
  <c r="I35" i="3"/>
  <c r="I83" i="3"/>
  <c r="D83" i="3"/>
  <c r="G83" i="3"/>
  <c r="H85" i="3"/>
  <c r="M83" i="3"/>
  <c r="N83" i="3"/>
  <c r="M35" i="3"/>
  <c r="H137" i="3" s="1"/>
  <c r="H138" i="3" s="1"/>
  <c r="C85" i="3"/>
  <c r="G35" i="3"/>
  <c r="D85" i="3"/>
  <c r="R21" i="10" l="1"/>
  <c r="O89" i="3"/>
  <c r="O85" i="3"/>
  <c r="O86" i="3"/>
  <c r="Q8" i="2"/>
  <c r="D125" i="2"/>
  <c r="C198" i="4"/>
  <c r="C199" i="4" s="1"/>
  <c r="O190" i="4"/>
  <c r="O198" i="4" s="1"/>
  <c r="O199" i="4" s="1"/>
  <c r="O201" i="4"/>
  <c r="O209" i="4" s="1"/>
  <c r="O210" i="4" s="1"/>
  <c r="D209" i="4"/>
  <c r="D210" i="4" s="1"/>
  <c r="E9" i="2"/>
  <c r="C130" i="2" s="1"/>
  <c r="C138" i="2" s="1"/>
  <c r="C139" i="2" s="1"/>
  <c r="C149" i="2"/>
  <c r="C150" i="2" s="1"/>
  <c r="N40" i="2"/>
  <c r="N54" i="2"/>
  <c r="N55" i="2" s="1"/>
  <c r="O143" i="2"/>
  <c r="P130" i="3"/>
  <c r="P137" i="3" s="1"/>
  <c r="P138" i="3" s="1"/>
  <c r="D137" i="3"/>
  <c r="D138" i="3" s="1"/>
  <c r="P139" i="3" s="1"/>
  <c r="P148" i="3" s="1"/>
  <c r="P149" i="3" s="1"/>
  <c r="N68" i="2"/>
  <c r="D124" i="2" s="1"/>
  <c r="P45" i="2"/>
  <c r="P46" i="2" s="1"/>
  <c r="E51" i="2"/>
  <c r="E52" i="2" s="1"/>
  <c r="C45" i="2"/>
  <c r="C46" i="2" s="1"/>
  <c r="I5" i="2"/>
  <c r="I9" i="2" s="1"/>
  <c r="G130" i="2" s="1"/>
  <c r="G138" i="2" s="1"/>
  <c r="G139" i="2" s="1"/>
  <c r="E44" i="2"/>
  <c r="P48" i="2"/>
  <c r="P49" i="2" s="1"/>
  <c r="C36" i="2"/>
  <c r="C37" i="2" s="1"/>
  <c r="F5" i="2"/>
  <c r="E35" i="2"/>
  <c r="E36" i="2" s="1"/>
  <c r="E37" i="2" s="1"/>
  <c r="P57" i="2"/>
  <c r="P58" i="2" s="1"/>
  <c r="P36" i="2"/>
  <c r="P37" i="2" s="1"/>
  <c r="C48" i="2"/>
  <c r="C49" i="2" s="1"/>
  <c r="C42" i="2"/>
  <c r="C43" i="2" s="1"/>
  <c r="E41" i="2"/>
  <c r="E42" i="2" s="1"/>
  <c r="E43" i="2" s="1"/>
  <c r="H5" i="2"/>
  <c r="H9" i="2" s="1"/>
  <c r="F130" i="2" s="1"/>
  <c r="F138" i="2" s="1"/>
  <c r="F139" i="2" s="1"/>
  <c r="C57" i="2"/>
  <c r="C58" i="2" s="1"/>
  <c r="C54" i="2"/>
  <c r="C55" i="2" s="1"/>
  <c r="E53" i="2"/>
  <c r="L5" i="2"/>
  <c r="L9" i="2" s="1"/>
  <c r="J130" i="2" s="1"/>
  <c r="J138" i="2" s="1"/>
  <c r="J139" i="2" s="1"/>
  <c r="C68" i="2"/>
  <c r="K6" i="2"/>
  <c r="K10" i="2" s="1"/>
  <c r="I141" i="2" s="1"/>
  <c r="I149" i="2" s="1"/>
  <c r="I150" i="2" s="1"/>
  <c r="P50" i="2"/>
  <c r="P51" i="2" s="1"/>
  <c r="P52" i="2" s="1"/>
  <c r="N51" i="2"/>
  <c r="N52" i="2" s="1"/>
  <c r="P42" i="2"/>
  <c r="P43" i="2" s="1"/>
  <c r="P39" i="2"/>
  <c r="P40" i="2" s="1"/>
  <c r="O141" i="2" l="1"/>
  <c r="F9" i="2"/>
  <c r="M149" i="2"/>
  <c r="M150" i="2" s="1"/>
  <c r="P68" i="2"/>
  <c r="Q6" i="2"/>
  <c r="Q10" i="2" s="1"/>
  <c r="E39" i="2"/>
  <c r="E45" i="2"/>
  <c r="E46" i="2" s="1"/>
  <c r="E48" i="2"/>
  <c r="E49" i="2" s="1"/>
  <c r="O132" i="2" s="1"/>
  <c r="P54" i="2"/>
  <c r="P55" i="2" s="1"/>
  <c r="Q5" i="2"/>
  <c r="Q9" i="2" s="1"/>
  <c r="C124" i="2"/>
  <c r="E68" i="2"/>
  <c r="E57" i="2"/>
  <c r="E58" i="2" s="1"/>
  <c r="E54" i="2"/>
  <c r="E55" i="2" s="1"/>
  <c r="D130" i="2" l="1"/>
  <c r="O130" i="2" s="1"/>
  <c r="O138" i="2" s="1"/>
  <c r="O139" i="2" s="1"/>
  <c r="E40" i="2"/>
  <c r="D138" i="2" l="1"/>
  <c r="D139" i="2" s="1"/>
  <c r="D149" i="2"/>
  <c r="D150" i="2" s="1"/>
  <c r="O142" i="2"/>
  <c r="O149" i="2" s="1"/>
  <c r="O150" i="2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<sst xmlns="http://schemas.openxmlformats.org/spreadsheetml/2006/main" count="2167" uniqueCount="436">
  <si>
    <t>TEMPOS DE SERVIÇO</t>
  </si>
  <si>
    <t>YTD</t>
  </si>
  <si>
    <t>ABRIL</t>
  </si>
  <si>
    <t>AMADORA</t>
  </si>
  <si>
    <t>TEMPO</t>
  </si>
  <si>
    <t>VAR</t>
  </si>
  <si>
    <t>RANK</t>
  </si>
  <si>
    <t>ALMOÇO</t>
  </si>
  <si>
    <t>JANTAR</t>
  </si>
  <si>
    <t>DIA</t>
  </si>
  <si>
    <t>QUELUZ</t>
  </si>
  <si>
    <t>QUALIDADE DO SERVIÇO</t>
  </si>
  <si>
    <t>FASTINSIGHT QUELUZ</t>
  </si>
  <si>
    <t>MÊS</t>
  </si>
  <si>
    <t>ANO</t>
  </si>
  <si>
    <t>SG</t>
  </si>
  <si>
    <t>NPS</t>
  </si>
  <si>
    <t>GC's Amadora</t>
  </si>
  <si>
    <t>Amadora</t>
  </si>
  <si>
    <t>SALA</t>
  </si>
  <si>
    <t>DELIVERY</t>
  </si>
  <si>
    <t>TOTAL</t>
  </si>
  <si>
    <t>Queluz</t>
  </si>
  <si>
    <t>GC's Queluz</t>
  </si>
  <si>
    <t>QUALIDADE</t>
  </si>
  <si>
    <t>P.Borges</t>
  </si>
  <si>
    <t>SERVIÇO</t>
  </si>
  <si>
    <t>LIMPEZA</t>
  </si>
  <si>
    <t>RÁCIO</t>
  </si>
  <si>
    <t>COMUNICAÇÃO DIGITAL</t>
  </si>
  <si>
    <t>UBER</t>
  </si>
  <si>
    <t>20/32</t>
  </si>
  <si>
    <t>Jan</t>
  </si>
  <si>
    <t>Fev</t>
  </si>
  <si>
    <t>Mar</t>
  </si>
  <si>
    <t>Abr</t>
  </si>
  <si>
    <t>Mai</t>
  </si>
  <si>
    <t>Jun</t>
  </si>
  <si>
    <t>Jul</t>
  </si>
  <si>
    <t>Ago</t>
  </si>
  <si>
    <t>Set</t>
  </si>
  <si>
    <t>Out</t>
  </si>
  <si>
    <t>Nov</t>
  </si>
  <si>
    <t>Dez</t>
  </si>
  <si>
    <t>ESTRELAS</t>
  </si>
  <si>
    <t>TEMPOS</t>
  </si>
  <si>
    <t>AVA. ESTAFETAS</t>
  </si>
  <si>
    <t>AVA. PRODUTO</t>
  </si>
  <si>
    <t xml:space="preserve">  </t>
  </si>
  <si>
    <t>VENDAS POR PLATAFORMA</t>
  </si>
  <si>
    <t>TOTAIS</t>
  </si>
  <si>
    <t>% DELIVERY</t>
  </si>
  <si>
    <t>% SALA</t>
  </si>
  <si>
    <t>TAKE-AWAY</t>
  </si>
  <si>
    <t>% TAKE-AWAY</t>
  </si>
  <si>
    <t>MOP</t>
  </si>
  <si>
    <t>% MOP</t>
  </si>
  <si>
    <t>JANEIRO</t>
  </si>
  <si>
    <t>FEVEREIRO</t>
  </si>
  <si>
    <t>MARÇO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</si>
  <si>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</si>
  <si>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</si>
  <si>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</si>
  <si>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</si>
  <si>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</si>
  <si>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</si>
  <si>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</si>
  <si>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</si>
  <si>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M.O. MENSAL</t>
  </si>
  <si>
    <t>20- VENDAS</t>
  </si>
  <si>
    <t>32- VENDAS</t>
  </si>
  <si>
    <t>20- HORAS</t>
  </si>
  <si>
    <t>32- HORAS</t>
  </si>
  <si>
    <t>20- PRODUTIVIDADE</t>
  </si>
  <si>
    <t>32-PRODUTIVIDADE</t>
  </si>
  <si>
    <t>20- MO</t>
  </si>
  <si>
    <t>32- MO</t>
  </si>
  <si>
    <t>EVOLUÇÃO MENSAL DE HORAS</t>
  </si>
  <si>
    <t>COMPARAÇÃO DE CUSTOS AMADORA</t>
  </si>
  <si>
    <t>COMPARAÇÃO DE CUSTOS QUELUZ</t>
  </si>
  <si>
    <t>VENDAS</t>
  </si>
  <si>
    <t>HORAS</t>
  </si>
  <si>
    <t>PRODUTIVIDADE</t>
  </si>
  <si>
    <t>MO</t>
  </si>
  <si>
    <r>
      <rPr>
        <sz val="9"/>
        <color theme="1"/>
        <rFont val="Segoe UI Symbol"/>
        <family val="2"/>
      </rPr>
      <t>⃤</t>
    </r>
    <r>
      <rPr>
        <sz val="9"/>
        <color theme="1"/>
        <rFont val="Calibri"/>
        <family val="2"/>
      </rPr>
      <t xml:space="preserve">   ABSOLUTA</t>
    </r>
  </si>
  <si>
    <r>
      <rPr>
        <sz val="9"/>
        <color theme="1"/>
        <rFont val="Segoe UI Symbol"/>
        <family val="2"/>
      </rPr>
      <t>⃤</t>
    </r>
    <r>
      <rPr>
        <sz val="9"/>
        <color theme="1"/>
        <rFont val="Calibri"/>
        <family val="2"/>
      </rPr>
      <t xml:space="preserve">   ABSOLUTA PP</t>
    </r>
  </si>
  <si>
    <r>
      <rPr>
        <sz val="9"/>
        <color theme="1"/>
        <rFont val="Segoe UI Symbol"/>
        <family val="2"/>
      </rPr>
      <t>⃤</t>
    </r>
    <r>
      <rPr>
        <sz val="9"/>
        <color theme="1"/>
        <rFont val="Calibri"/>
        <family val="2"/>
      </rPr>
      <t xml:space="preserve">   RELATIVA</t>
    </r>
  </si>
  <si>
    <t>TURNOVER</t>
  </si>
  <si>
    <t>STAFFING</t>
  </si>
  <si>
    <t>STAFFING (abaixo do ideal)</t>
  </si>
  <si>
    <t>PLANIFICAÇÃO (ideal)</t>
  </si>
  <si>
    <t>20- TOTAL</t>
  </si>
  <si>
    <t>20- ALMOÇO</t>
  </si>
  <si>
    <t>20- JANTAR</t>
  </si>
  <si>
    <t>32- TOTAL</t>
  </si>
  <si>
    <t>32- ALMOÇO</t>
  </si>
  <si>
    <t>32- JANTAR</t>
  </si>
  <si>
    <t>HORAS EXTRA</t>
  </si>
  <si>
    <t>CEDÊNCIA DE HORAS</t>
  </si>
  <si>
    <t>JUSTIFICAÇÃO</t>
  </si>
  <si>
    <t>MÉDIA MENSAL</t>
  </si>
  <si>
    <t>EXTRA POR 1000€</t>
  </si>
  <si>
    <t>EXTRA vs  HORAS</t>
  </si>
  <si>
    <t>CUSTO DE VENDAS</t>
  </si>
  <si>
    <t>COMIDA (20)</t>
  </si>
  <si>
    <t>PAPEL (20)</t>
  </si>
  <si>
    <t>REFEIÇÕES (20)</t>
  </si>
  <si>
    <t>PERDAS (20)</t>
  </si>
  <si>
    <t>PROMOS (20)</t>
  </si>
  <si>
    <t>C.VENDAS (20)</t>
  </si>
  <si>
    <t>COMIDA (32)</t>
  </si>
  <si>
    <t>PAPEL (32)</t>
  </si>
  <si>
    <t>REFEIÇÕES (32)</t>
  </si>
  <si>
    <t>PERDAS (32)</t>
  </si>
  <si>
    <t>PROMOS (32)</t>
  </si>
  <si>
    <t>C.VENDAS (32)</t>
  </si>
  <si>
    <t>DESVIOS</t>
  </si>
  <si>
    <t>PÃO REG</t>
  </si>
  <si>
    <t>CARNE REG</t>
  </si>
  <si>
    <t>CARNE ROYAL</t>
  </si>
  <si>
    <t>CHK OPT</t>
  </si>
  <si>
    <t>CHK NUGGETS</t>
  </si>
  <si>
    <t>QUEIJO CHEDDAR</t>
  </si>
  <si>
    <t>Média</t>
  </si>
  <si>
    <t>20 vs 32</t>
  </si>
  <si>
    <t>RENDIMENTOS</t>
  </si>
  <si>
    <t>BATATA</t>
  </si>
  <si>
    <t>ALFACE L6</t>
  </si>
  <si>
    <t>COB CHOCOLATE</t>
  </si>
  <si>
    <t>COB CARAMELO</t>
  </si>
  <si>
    <t>COB MORANGO</t>
  </si>
  <si>
    <t>COB SNICKERS</t>
  </si>
  <si>
    <t>LEITE SUNDAE</t>
  </si>
  <si>
    <t>CUSTO INVENTÁRIO (20)</t>
  </si>
  <si>
    <t>CUSTO TEÓRICO (20)</t>
  </si>
  <si>
    <t>DESVIO (20)</t>
  </si>
  <si>
    <t>DESVIO RENDIMENTO (20)</t>
  </si>
  <si>
    <t>CUSTO INVENTÁRIO (32)</t>
  </si>
  <si>
    <t>CUSTO TEÓRICO (32)</t>
  </si>
  <si>
    <t>DESVIO (32)</t>
  </si>
  <si>
    <t>DESVIO RENDIMENTO (32)</t>
  </si>
  <si>
    <t>AVALIAÇÕES DE QUALIDADE</t>
  </si>
  <si>
    <t>Supevisor (20)</t>
  </si>
  <si>
    <t>Controlvet (20)</t>
  </si>
  <si>
    <t>MÉDIA (20)</t>
  </si>
  <si>
    <t>Supervisor (32)</t>
  </si>
  <si>
    <t>Controlvet (32)</t>
  </si>
  <si>
    <t>MÉDIA (32)</t>
  </si>
  <si>
    <t>PRINCIPAIS FALHAS</t>
  </si>
  <si>
    <t>ITEM</t>
  </si>
  <si>
    <t xml:space="preserve"> PRINCIPAL CAUSA</t>
  </si>
  <si>
    <t>NOTA</t>
  </si>
  <si>
    <t>AÇÃO CORRETIVA</t>
  </si>
  <si>
    <t>RESPONSÁVEL</t>
  </si>
  <si>
    <t>ANÁLISE DE CUSTOS</t>
  </si>
  <si>
    <t>20- GASTOS GERAIS</t>
  </si>
  <si>
    <t>20- OPS</t>
  </si>
  <si>
    <t>20- MAN&amp;REP</t>
  </si>
  <si>
    <t>32- GASTOS GERAIS</t>
  </si>
  <si>
    <t>32- OPS</t>
  </si>
  <si>
    <t>32- MAN&amp;REP</t>
  </si>
  <si>
    <t>GASTOS GERAIS</t>
  </si>
  <si>
    <t>20-ÁGUA</t>
  </si>
  <si>
    <t>20-ELETRICIDADE</t>
  </si>
  <si>
    <t>32-ÁGUA</t>
  </si>
  <si>
    <t>32-ELETRICIDADE</t>
  </si>
  <si>
    <t>OPS</t>
  </si>
  <si>
    <t>EASY WASH</t>
  </si>
  <si>
    <t>APC</t>
  </si>
  <si>
    <t>LIQUÍDO WC</t>
  </si>
  <si>
    <t>GRILL CLEANER</t>
  </si>
  <si>
    <t>MASCARAS</t>
  </si>
  <si>
    <t>GEL DA MÃOS</t>
  </si>
  <si>
    <t>SACOS DO LIXO</t>
  </si>
  <si>
    <t xml:space="preserve">ESFREGÃO </t>
  </si>
  <si>
    <t>SOLID FLOORCARE</t>
  </si>
  <si>
    <r>
      <t>∆</t>
    </r>
    <r>
      <rPr>
        <b/>
        <sz val="10.9"/>
        <color theme="1"/>
        <rFont val="Calibri"/>
        <family val="2"/>
      </rPr>
      <t xml:space="preserve"> ABSOLUTA</t>
    </r>
  </si>
  <si>
    <r>
      <t>∆</t>
    </r>
    <r>
      <rPr>
        <b/>
        <sz val="10.9"/>
        <color theme="1"/>
        <rFont val="Calibri"/>
        <family val="2"/>
      </rPr>
      <t xml:space="preserve"> RELATIVA</t>
    </r>
  </si>
  <si>
    <t>AVARIAS AMADORA</t>
  </si>
  <si>
    <t>AVARIAS QUELUZ</t>
  </si>
  <si>
    <t>EQUIPAMENTO</t>
  </si>
  <si>
    <t>CAUSA</t>
  </si>
  <si>
    <t>DATA</t>
  </si>
  <si>
    <t>PEÇAS</t>
  </si>
  <si>
    <t>CUSTO</t>
  </si>
  <si>
    <t>DESEMPENHO AMADORA</t>
  </si>
  <si>
    <t>CMP</t>
  </si>
  <si>
    <t>PL</t>
  </si>
  <si>
    <t>AVALIAÇÕES</t>
  </si>
  <si>
    <t>DESEMPENHO QUELUZ</t>
  </si>
  <si>
    <t>20-CMP</t>
  </si>
  <si>
    <t>20- PL</t>
  </si>
  <si>
    <t>20-AVALIAÇÕES</t>
  </si>
  <si>
    <t>32-CMP</t>
  </si>
  <si>
    <t>32- PL</t>
  </si>
  <si>
    <t>32-AVALIAÇÕES</t>
  </si>
  <si>
    <t>AVALIAÇÃO DE LIMPEZA AMADORA</t>
  </si>
  <si>
    <t>AVALIAÇÃO DE LIMPEZA QUELUZ</t>
  </si>
  <si>
    <t>ÁREA</t>
  </si>
  <si>
    <t>ERRO</t>
  </si>
  <si>
    <t>P.BORGES</t>
  </si>
  <si>
    <t>fev</t>
  </si>
  <si>
    <t>mar</t>
  </si>
  <si>
    <t>Ava. Total</t>
  </si>
  <si>
    <t>Ava. Mês</t>
  </si>
  <si>
    <t>FASTINSIGHT AMADORA</t>
  </si>
  <si>
    <t>Nacional vs 2019</t>
  </si>
  <si>
    <t>32 vs 2019</t>
  </si>
  <si>
    <t>EXATIDÃO</t>
  </si>
  <si>
    <t>VALOR DA HORA 2022</t>
  </si>
  <si>
    <t>BACON FATIAS</t>
  </si>
  <si>
    <t>COMPAL M/L</t>
  </si>
  <si>
    <t>COB MARS</t>
  </si>
  <si>
    <t>CUSTO INVENTÁRIO 20)</t>
  </si>
  <si>
    <t xml:space="preserve"> </t>
  </si>
  <si>
    <t>LY</t>
  </si>
  <si>
    <t>PBORGES</t>
  </si>
  <si>
    <t>GC'S</t>
  </si>
  <si>
    <t>OBJETIVO</t>
  </si>
  <si>
    <t>20 vs 2022</t>
  </si>
  <si>
    <t>32 vs 2022</t>
  </si>
  <si>
    <t>TOTAIS vs 2022</t>
  </si>
  <si>
    <t>Fastinsight</t>
  </si>
  <si>
    <t>Google</t>
  </si>
  <si>
    <t>Rating UBER</t>
  </si>
  <si>
    <t>Tempos UBER</t>
  </si>
  <si>
    <t>Rácio exatidão</t>
  </si>
  <si>
    <t>GC's</t>
  </si>
  <si>
    <t>Vendas</t>
  </si>
  <si>
    <t>Tempo serviço</t>
  </si>
  <si>
    <t>Reclamações</t>
  </si>
  <si>
    <t>Total</t>
  </si>
  <si>
    <t>Tx Concretização</t>
  </si>
  <si>
    <t xml:space="preserve">                                                                                   RÁCIO DE RECLAMAÇÕES</t>
  </si>
  <si>
    <t>Produtividade</t>
  </si>
  <si>
    <t>Turnover</t>
  </si>
  <si>
    <t>Staffing</t>
  </si>
  <si>
    <t>Gestor</t>
  </si>
  <si>
    <t>DESVIO</t>
  </si>
  <si>
    <t>A. Supervisor</t>
  </si>
  <si>
    <t>A. Controlvet</t>
  </si>
  <si>
    <t>Desvio</t>
  </si>
  <si>
    <t>Avaliações</t>
  </si>
  <si>
    <t>A. Gestor</t>
  </si>
  <si>
    <t>Perdas</t>
  </si>
  <si>
    <t>Refeições</t>
  </si>
  <si>
    <t>Plano de limpezas</t>
  </si>
  <si>
    <t>Gastos Gerais</t>
  </si>
  <si>
    <t>20- KW 22 vs 23</t>
  </si>
  <si>
    <t>32- KW 22 vs 23</t>
  </si>
  <si>
    <t xml:space="preserve"> = ou &gt; a 2022</t>
  </si>
  <si>
    <t>Avaliação</t>
  </si>
  <si>
    <t>Percentil</t>
  </si>
  <si>
    <t>20 vs 2019</t>
  </si>
  <si>
    <t>EVOLUÇÃO RELATIVA DE VENDAS</t>
  </si>
  <si>
    <t>EVOLUÇÃO RELATIVA DAS GC'S</t>
  </si>
  <si>
    <t>TEMPO TOTAL</t>
  </si>
  <si>
    <t>Data</t>
  </si>
  <si>
    <t>Gerente</t>
  </si>
  <si>
    <t>Nota final</t>
  </si>
  <si>
    <t>Janeiro</t>
  </si>
  <si>
    <t>Hugo</t>
  </si>
  <si>
    <t>Fevereiro</t>
  </si>
  <si>
    <t>Março</t>
  </si>
  <si>
    <t>Abril</t>
  </si>
  <si>
    <t>Maio</t>
  </si>
  <si>
    <t>Junho</t>
  </si>
  <si>
    <t>Julho</t>
  </si>
  <si>
    <t>Agosto</t>
  </si>
  <si>
    <t>Setembro</t>
  </si>
  <si>
    <t>Outubro</t>
  </si>
  <si>
    <t>Novembro</t>
  </si>
  <si>
    <t>Dezembro</t>
  </si>
  <si>
    <t>Dados</t>
  </si>
  <si>
    <t>Secções de avaliação</t>
  </si>
  <si>
    <t>Máquinas de Gelado e BIC</t>
  </si>
  <si>
    <t>Lista de Controlo Diário</t>
  </si>
  <si>
    <t>Controlos de Gestão</t>
  </si>
  <si>
    <t>Marília</t>
  </si>
  <si>
    <t>Nota por dep.</t>
  </si>
  <si>
    <t>Loja</t>
  </si>
  <si>
    <t>Média por área</t>
  </si>
  <si>
    <t>Luis</t>
  </si>
  <si>
    <t>Desempenho de Gerentes</t>
  </si>
  <si>
    <t>Bruna</t>
  </si>
  <si>
    <t>Isaac</t>
  </si>
  <si>
    <t>Isabel</t>
  </si>
  <si>
    <t>Janice</t>
  </si>
  <si>
    <t>Claudia</t>
  </si>
  <si>
    <t>Vitor</t>
  </si>
  <si>
    <t>Uilson</t>
  </si>
  <si>
    <t>William</t>
  </si>
  <si>
    <t>BSV</t>
  </si>
  <si>
    <t>VSC</t>
  </si>
  <si>
    <t>∆Vendas</t>
  </si>
  <si>
    <t>Horas</t>
  </si>
  <si>
    <t>Mão obra</t>
  </si>
  <si>
    <t>TET</t>
  </si>
  <si>
    <t>R2P</t>
  </si>
  <si>
    <t>Reembolsos</t>
  </si>
  <si>
    <t>µ Reembolsos</t>
  </si>
  <si>
    <t>FINANCEIRO</t>
  </si>
  <si>
    <t>OPERAÇÕES</t>
  </si>
  <si>
    <t>Crescimento de vendas</t>
  </si>
  <si>
    <t>Crescimento de GC's</t>
  </si>
  <si>
    <t>Crescimento Delivery</t>
  </si>
  <si>
    <t>Crescimento GC's Delivery</t>
  </si>
  <si>
    <t>Peso Delivery</t>
  </si>
  <si>
    <t>Peso MOP</t>
  </si>
  <si>
    <t>Região</t>
  </si>
  <si>
    <t>PBvsRegião</t>
  </si>
  <si>
    <t>Nacional</t>
  </si>
  <si>
    <t>PBvsNac</t>
  </si>
  <si>
    <t>Tempos de Serviço</t>
  </si>
  <si>
    <t>Variação</t>
  </si>
  <si>
    <t>Tempos Delivery</t>
  </si>
  <si>
    <t>PACE</t>
  </si>
  <si>
    <t>Vendas PB</t>
  </si>
  <si>
    <t>Vendas Região</t>
  </si>
  <si>
    <t>Vendas Nacional</t>
  </si>
  <si>
    <t>Gc's Região</t>
  </si>
  <si>
    <t>Gc's Nacional</t>
  </si>
  <si>
    <t>Delivery PB</t>
  </si>
  <si>
    <t>Delivery Região</t>
  </si>
  <si>
    <t>Delivery Nacional</t>
  </si>
  <si>
    <t>Gc's Delivery PB</t>
  </si>
  <si>
    <t>Gc's Delivery Região</t>
  </si>
  <si>
    <r>
      <t>Nacional/</t>
    </r>
    <r>
      <rPr>
        <sz val="11"/>
        <color theme="9" tint="-0.249977111117893"/>
        <rFont val="Calibri"/>
        <family val="2"/>
        <scheme val="minor"/>
      </rPr>
      <t>Objetivo</t>
    </r>
  </si>
  <si>
    <t>Fastinsight Nacional</t>
  </si>
  <si>
    <t>Gc's Delivery Nacional</t>
  </si>
  <si>
    <t>Real</t>
  </si>
  <si>
    <t>Planificado</t>
  </si>
  <si>
    <t>Diferença</t>
  </si>
  <si>
    <t>Vendas (16h)</t>
  </si>
  <si>
    <t>BM</t>
  </si>
  <si>
    <t>Objetivo 150"</t>
  </si>
  <si>
    <t>Objetivo 90"</t>
  </si>
  <si>
    <t>CMP %</t>
  </si>
  <si>
    <t>P. Limpezas %</t>
  </si>
  <si>
    <t>Quantidade</t>
  </si>
  <si>
    <t>Valor</t>
  </si>
  <si>
    <t>,</t>
  </si>
  <si>
    <t>INEXATIDÃO</t>
  </si>
  <si>
    <t>RAPIDEZ</t>
  </si>
  <si>
    <t>SONDA SOPA1</t>
  </si>
  <si>
    <t>NOVA, ANTIGA NAO TINHA REPARACAO</t>
  </si>
  <si>
    <t>Testo 270</t>
  </si>
  <si>
    <t>Avaria, sem Reparaçao</t>
  </si>
  <si>
    <t>Novo</t>
  </si>
  <si>
    <t>router das sondas</t>
  </si>
  <si>
    <t>cabo do router das sondas</t>
  </si>
  <si>
    <t>Sonda Bop</t>
  </si>
  <si>
    <t>impressora balcão</t>
  </si>
  <si>
    <t>problemas tecnicos</t>
  </si>
  <si>
    <t>Placa Interface</t>
  </si>
  <si>
    <t>impressora zebra</t>
  </si>
  <si>
    <t>Cilindor Gril</t>
  </si>
  <si>
    <t>estufa UHC</t>
  </si>
  <si>
    <t>nova</t>
  </si>
  <si>
    <t>5 131,01€</t>
  </si>
  <si>
    <t>Estrado Negativa</t>
  </si>
  <si>
    <t>Partidos</t>
  </si>
  <si>
    <t>evaporizador</t>
  </si>
  <si>
    <t>novo</t>
  </si>
  <si>
    <t>1 355,39€</t>
  </si>
  <si>
    <t>Recolha de Gas AC</t>
  </si>
  <si>
    <t>abate do equipamento</t>
  </si>
  <si>
    <t>impressora sok30</t>
  </si>
  <si>
    <t>talão não sai com tinta</t>
  </si>
  <si>
    <t>Cuba Gelo</t>
  </si>
  <si>
    <t>Tampa Partida</t>
  </si>
  <si>
    <t>borrachas das arcas</t>
  </si>
  <si>
    <t>encontram se rasgadas</t>
  </si>
  <si>
    <t>Panela Sopa</t>
  </si>
  <si>
    <t>Sem tampa e sem pega</t>
  </si>
  <si>
    <t>Nova</t>
  </si>
  <si>
    <t>fundo de cx</t>
  </si>
  <si>
    <t>substituição do fundo de cx</t>
  </si>
  <si>
    <t>Micro chip Fritad</t>
  </si>
  <si>
    <t>Avaria Total</t>
  </si>
  <si>
    <t>POS 4</t>
  </si>
  <si>
    <t>novo POS 4</t>
  </si>
  <si>
    <t>1 869,90€</t>
  </si>
  <si>
    <t>22-jan.</t>
  </si>
  <si>
    <t>2-fev.</t>
  </si>
  <si>
    <t>Marilia</t>
  </si>
  <si>
    <t>31-jan.</t>
  </si>
  <si>
    <t>16-fev.</t>
  </si>
  <si>
    <t>22-fev.</t>
  </si>
  <si>
    <t>15-mar.</t>
  </si>
  <si>
    <t>20-mar.</t>
  </si>
  <si>
    <t>Tempos de serviço Nacional</t>
  </si>
  <si>
    <t>GC's PB</t>
  </si>
  <si>
    <t>Gc's Tipologia</t>
  </si>
  <si>
    <t>Vendas Tipologia (Free Stand)</t>
  </si>
  <si>
    <t xml:space="preserve">Tipologia </t>
  </si>
  <si>
    <t>PBvsTipo</t>
  </si>
  <si>
    <t>YTD vs LY</t>
  </si>
  <si>
    <t>PB vs Região</t>
  </si>
  <si>
    <t>PB vs Tipologia</t>
  </si>
  <si>
    <t>PB vs Nacional</t>
  </si>
  <si>
    <t>Vendas YTD</t>
  </si>
  <si>
    <t>QUEIJO EMMENTAL/WHITE</t>
  </si>
  <si>
    <t>SOPAS</t>
  </si>
  <si>
    <t>*Atualizado 1-8</t>
  </si>
  <si>
    <t>94.96</t>
  </si>
  <si>
    <t>96.86</t>
  </si>
  <si>
    <t>20 vs 2024</t>
  </si>
  <si>
    <t>TOTAIS vs 2024</t>
  </si>
  <si>
    <t>32 vs 2024</t>
  </si>
  <si>
    <t>Mlovers</t>
  </si>
  <si>
    <t>32 vs 2023</t>
  </si>
  <si>
    <t>Vendas Totais</t>
  </si>
  <si>
    <t>Vendas Delivery</t>
  </si>
  <si>
    <t>Pborges</t>
  </si>
  <si>
    <t>Tipologia</t>
  </si>
  <si>
    <t>Relativo</t>
  </si>
  <si>
    <t>Absoluto</t>
  </si>
  <si>
    <t>Pré Venda Nova</t>
  </si>
  <si>
    <t>Pós Venda Nova</t>
  </si>
  <si>
    <t>Vendas In Store</t>
  </si>
  <si>
    <t>Almoço</t>
  </si>
  <si>
    <t>Tarde</t>
  </si>
  <si>
    <t>Jantar</t>
  </si>
  <si>
    <t>Pós Jantar</t>
  </si>
  <si>
    <t>GC's Totais</t>
  </si>
  <si>
    <t>GC's Delivery</t>
  </si>
  <si>
    <t>GC's In Store</t>
  </si>
  <si>
    <t>Peso</t>
  </si>
  <si>
    <t>Média diária</t>
  </si>
  <si>
    <t>NACIONAL</t>
  </si>
  <si>
    <t>LR 1,26</t>
  </si>
  <si>
    <t>CC 0,91</t>
  </si>
  <si>
    <t>Delivery</t>
  </si>
  <si>
    <t>19.1</t>
  </si>
  <si>
    <t>SIMPATIA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</si>
</sst>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3">
    <numFmt numFmtId="6" formatCode="#,##0\ &quot;€&quot;;[Red]\-#,##0\ &quot;€&quot;"/>
    <numFmt numFmtId="8" formatCode="#,##0.00\ &quot;€&quot;;[Red]\-#,##0.00\ &quot;€&quot;"/>
    <numFmt numFmtId="44" formatCode="_-* #,##0.00\ &quot;€&quot;_-;\-* #,##0.00\ &quot;€&quot;_-;_-* &quot;-&quot;??\ &quot;€&quot;_-;_-@_-"/>
    <numFmt numFmtId="43" formatCode="_-* #,##0.00_-;\-* #,##0.00_-;_-* &quot;-&quot;??_-;_-@_-"/>
    <numFmt numFmtId="164" formatCode="0.0%"/>
    <numFmt numFmtId="165" formatCode="#,##0.00\ &quot;€&quot;"/>
    <numFmt numFmtId="166" formatCode="0.000"/>
    <numFmt numFmtId="167" formatCode="0.0"/>
    <numFmt numFmtId="168" formatCode="#,##0_ ;\-#,##0\ "/>
    <numFmt numFmtId="169" formatCode="_-* #,##0\ &quot;€&quot;_-;\-* #,##0\ &quot;€&quot;_-;_-* &quot;-&quot;??\ &quot;€&quot;_-;_-@_-"/>
    <numFmt numFmtId="170" formatCode="_-* #,##0.0_-;\-* #,##0.0_-;_-* &quot;-&quot;??_-;_-@_-"/>
    <numFmt numFmtId="171" formatCode="_-* #,##0_-;\-* #,##0_-;_-* &quot;-&quot;??_-;_-@_-"/>
    <numFmt numFmtId="172" formatCode="_-* #,##0.00\ _€_-;\-* #,##0.00\ _€_-;_-* &quot;-&quot;??\ _€_-;_-@_-"/>
  </numFmts>
  <fonts count="3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11"/>
      <color theme="1"/>
      <name val="Calibri"/>
      <family val="2"/>
    </font>
    <font>
      <b/>
      <sz val="10.9"/>
      <color theme="1"/>
      <name val="Calibri"/>
      <family val="2"/>
    </font>
    <font>
      <sz val="9"/>
      <color theme="1"/>
      <name val="Calibri"/>
      <family val="2"/>
    </font>
    <font>
      <sz val="9"/>
      <color theme="1"/>
      <name val="Segoe UI Symbol"/>
      <family val="2"/>
    </font>
    <font>
      <b/>
      <sz val="9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trike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name val="Calibri"/>
      <family val="2"/>
      <scheme val="minor"/>
    </font>
    <font>
      <sz val="11"/>
      <color theme="2" tint="-0.499984740745262"/>
      <name val="Calibri"/>
      <family val="2"/>
      <scheme val="minor"/>
    </font>
    <font>
      <b/>
      <i/>
      <sz val="11"/>
      <color rgb="FFCC0000"/>
      <name val="Calibri"/>
      <family val="2"/>
      <scheme val="minor"/>
    </font>
    <font>
      <b/>
      <i/>
      <sz val="11"/>
      <color theme="8" tint="-0.249977111117893"/>
      <name val="Calibri"/>
      <family val="2"/>
      <scheme val="minor"/>
    </font>
    <font>
      <sz val="11"/>
      <color theme="8" tint="-0.249977111117893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Calibri"/>
      <family val="2"/>
      <scheme val="minor"/>
    </font>
    <font>
      <b/>
      <sz val="26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name val="Calibri"/>
      <family val="2"/>
      <scheme val="minor"/>
    </font>
    <font>
      <b/>
      <sz val="14"/>
      <color theme="0"/>
      <name val="Calibri"/>
      <family val="2"/>
      <scheme val="minor"/>
    </font>
    <font>
      <b/>
      <sz val="24"/>
      <color theme="0"/>
      <name val="Calibri"/>
      <family val="2"/>
      <scheme val="minor"/>
    </font>
    <font>
      <sz val="11"/>
      <color theme="9" tint="-0.249977111117893"/>
      <name val="Calibri"/>
      <family val="2"/>
      <scheme val="minor"/>
    </font>
    <font>
      <b/>
      <sz val="18"/>
      <color theme="9" tint="-0.249977111117893"/>
      <name val="Calibri"/>
      <family val="2"/>
      <scheme val="minor"/>
    </font>
    <font>
      <b/>
      <sz val="14"/>
      <name val="Calibri"/>
      <family val="2"/>
      <scheme val="minor"/>
    </font>
  </fonts>
  <fills count="18">
    <fill>
      <patternFill patternType="none"/>
    </fill>
    <fill>
      <patternFill patternType="gray125"/>
    </fill>
    <fill>
      <patternFill patternType="solid">
        <fgColor theme="6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 tint="0.14999847407452621"/>
        <bgColor indexed="64"/>
      </patternFill>
    </fill>
    <fill>
      <patternFill patternType="solid">
        <fgColor theme="2" tint="-0.499984740745262"/>
        <bgColor indexed="64"/>
      </patternFill>
    </fill>
  </fills>
  <borders count="1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medium">
        <color indexed="64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/>
      <right/>
      <top style="thin">
        <color auto="1"/>
      </top>
      <bottom style="medium">
        <color indexed="64"/>
      </bottom>
      <diagonal/>
    </border>
    <border>
      <left/>
      <right style="thin">
        <color auto="1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thin">
        <color auto="1"/>
      </right>
      <top style="medium">
        <color indexed="64"/>
      </top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indexed="64"/>
      </left>
      <right/>
      <top style="thin">
        <color auto="1"/>
      </top>
      <bottom style="medium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/>
      <top style="medium">
        <color indexed="64"/>
      </top>
      <bottom/>
      <diagonal/>
    </border>
    <border>
      <left/>
      <right style="thin">
        <color auto="1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 style="thin">
        <color auto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theme="9" tint="0.39997558519241921"/>
      </left>
      <right style="thin">
        <color theme="9" tint="0.39997558519241921"/>
      </right>
      <top style="thin">
        <color theme="9" tint="0.39997558519241921"/>
      </top>
      <bottom/>
      <diagonal/>
    </border>
    <border>
      <left style="thin">
        <color theme="9" tint="0.39997558519241921"/>
      </left>
      <right style="thin">
        <color theme="9" tint="0.39997558519241921"/>
      </right>
      <top/>
      <bottom/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9" tint="0.3999755851924192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/>
      <right/>
      <top style="double">
        <color auto="1"/>
      </top>
      <bottom style="double">
        <color auto="1"/>
      </bottom>
      <diagonal/>
    </border>
    <border>
      <left/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/>
      <top style="double">
        <color auto="1"/>
      </top>
      <bottom style="double">
        <color auto="1"/>
      </bottom>
      <diagonal/>
    </border>
    <border>
      <left style="medium">
        <color indexed="64"/>
      </left>
      <right style="thin">
        <color indexed="64"/>
      </right>
      <top/>
      <bottom style="double">
        <color auto="1"/>
      </bottom>
      <diagonal/>
    </border>
    <border>
      <left style="thin">
        <color theme="9" tint="0.39997558519241921"/>
      </left>
      <right style="thin">
        <color theme="9" tint="0.39997558519241921"/>
      </right>
      <top/>
      <bottom style="thin">
        <color theme="1"/>
      </bottom>
      <diagonal/>
    </border>
    <border>
      <left style="thin">
        <color theme="9" tint="0.39997558519241921"/>
      </left>
      <right style="thin">
        <color theme="1"/>
      </right>
      <top/>
      <bottom style="thin">
        <color theme="1"/>
      </bottom>
      <diagonal/>
    </border>
    <border>
      <left/>
      <right style="thin">
        <color theme="9" tint="0.39997558519241921"/>
      </right>
      <top/>
      <bottom style="thin">
        <color theme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  <border>
      <left style="thin">
        <color theme="1"/>
      </left>
      <right/>
      <top/>
      <bottom style="thin">
        <color theme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theme="1"/>
      </left>
      <right style="thin">
        <color auto="1"/>
      </right>
      <top/>
      <bottom style="thin">
        <color theme="1"/>
      </bottom>
      <diagonal/>
    </border>
    <border>
      <left style="thin">
        <color auto="1"/>
      </left>
      <right style="thin">
        <color theme="1"/>
      </right>
      <top/>
      <bottom style="thin">
        <color theme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thin">
        <color theme="1"/>
      </right>
      <top style="medium">
        <color theme="1"/>
      </top>
      <bottom style="thin">
        <color theme="1"/>
      </bottom>
      <diagonal/>
    </border>
    <border>
      <left style="thin">
        <color theme="1"/>
      </left>
      <right style="medium">
        <color theme="1"/>
      </right>
      <top style="medium">
        <color theme="1"/>
      </top>
      <bottom style="thin">
        <color theme="1"/>
      </bottom>
      <diagonal/>
    </border>
    <border>
      <left style="medium">
        <color theme="1"/>
      </left>
      <right style="thin">
        <color theme="1"/>
      </right>
      <top/>
      <bottom style="thin">
        <color theme="1"/>
      </bottom>
      <diagonal/>
    </border>
    <border>
      <left style="thin">
        <color theme="1"/>
      </left>
      <right style="medium">
        <color theme="1"/>
      </right>
      <top/>
      <bottom style="thin">
        <color theme="1"/>
      </bottom>
      <diagonal/>
    </border>
    <border>
      <left style="medium">
        <color theme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theme="1"/>
      </right>
      <top/>
      <bottom style="thin">
        <color auto="1"/>
      </bottom>
      <diagonal/>
    </border>
    <border>
      <left style="medium">
        <color theme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theme="1"/>
      </right>
      <top style="thin">
        <color auto="1"/>
      </top>
      <bottom/>
      <diagonal/>
    </border>
    <border>
      <left style="medium">
        <color theme="1"/>
      </left>
      <right/>
      <top style="medium">
        <color theme="1"/>
      </top>
      <bottom style="medium">
        <color theme="1"/>
      </bottom>
      <diagonal/>
    </border>
    <border>
      <left/>
      <right/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thin">
        <color indexed="64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thin">
        <color auto="1"/>
      </right>
      <top style="medium">
        <color theme="1"/>
      </top>
      <bottom style="medium">
        <color theme="1"/>
      </bottom>
      <diagonal/>
    </border>
    <border>
      <left style="thin">
        <color auto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/>
      <top style="medium">
        <color theme="1"/>
      </top>
      <bottom style="medium">
        <color indexed="64"/>
      </bottom>
      <diagonal/>
    </border>
    <border>
      <left style="medium">
        <color theme="1"/>
      </left>
      <right/>
      <top/>
      <bottom/>
      <diagonal/>
    </border>
    <border>
      <left/>
      <right style="medium">
        <color theme="1"/>
      </right>
      <top/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 style="medium">
        <color indexed="64"/>
      </top>
      <bottom style="medium">
        <color rgb="FF000000"/>
      </bottom>
      <diagonal/>
    </border>
    <border>
      <left/>
      <right/>
      <top style="medium">
        <color indexed="64"/>
      </top>
      <bottom style="medium">
        <color rgb="FF000000"/>
      </bottom>
      <diagonal/>
    </border>
    <border>
      <left/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/>
      <bottom style="thin">
        <color auto="1"/>
      </bottom>
      <diagonal/>
    </border>
    <border>
      <left/>
      <right style="medium">
        <color indexed="64"/>
      </right>
      <top/>
      <bottom style="thin">
        <color auto="1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/>
      <top style="thin">
        <color theme="9" tint="0.39997558519241921"/>
      </top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/>
      <diagonal/>
    </border>
  </borders>
  <cellStyleXfs count="9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0" fontId="27" fillId="0" borderId="0" applyNumberFormat="0" applyFill="0" applyBorder="0" applyAlignment="0" applyProtection="0"/>
  </cellStyleXfs>
  <cellXfs count="836">
    <xf numFmtId="0" fontId="0" fillId="0" borderId="0" xfId="0"/>
    <xf numFmtId="0" fontId="0" fillId="2" borderId="0" xfId="0" applyFill="1"/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/>
    </xf>
    <xf numFmtId="44" fontId="4" fillId="0" borderId="1" xfId="2" applyFont="1" applyBorder="1" applyProtection="1">
      <protection locked="0"/>
    </xf>
    <xf numFmtId="44" fontId="4" fillId="0" borderId="1" xfId="2" applyFont="1" applyBorder="1"/>
    <xf numFmtId="44" fontId="5" fillId="0" borderId="1" xfId="2" applyFont="1" applyBorder="1" applyProtection="1">
      <protection locked="0"/>
    </xf>
    <xf numFmtId="0" fontId="0" fillId="2" borderId="3" xfId="0" applyFill="1" applyBorder="1"/>
    <xf numFmtId="0" fontId="0" fillId="2" borderId="4" xfId="0" applyFill="1" applyBorder="1"/>
    <xf numFmtId="0" fontId="0" fillId="2" borderId="9" xfId="0" applyFill="1" applyBorder="1"/>
    <xf numFmtId="0" fontId="0" fillId="2" borderId="10" xfId="0" applyFill="1" applyBorder="1"/>
    <xf numFmtId="0" fontId="6" fillId="5" borderId="4" xfId="0" applyFont="1" applyFill="1" applyBorder="1"/>
    <xf numFmtId="0" fontId="6" fillId="5" borderId="11" xfId="0" applyFont="1" applyFill="1" applyBorder="1"/>
    <xf numFmtId="0" fontId="8" fillId="0" borderId="13" xfId="0" applyFont="1" applyBorder="1" applyAlignment="1">
      <alignment horizontal="center"/>
    </xf>
    <xf numFmtId="0" fontId="0" fillId="0" borderId="14" xfId="0" applyBorder="1" applyProtection="1">
      <protection locked="0"/>
    </xf>
    <xf numFmtId="0" fontId="0" fillId="5" borderId="14" xfId="0" applyFill="1" applyBorder="1"/>
    <xf numFmtId="0" fontId="0" fillId="5" borderId="15" xfId="0" applyFill="1" applyBorder="1"/>
    <xf numFmtId="0" fontId="9" fillId="0" borderId="16" xfId="0" applyFont="1" applyBorder="1" applyAlignment="1">
      <alignment horizontal="center"/>
    </xf>
    <xf numFmtId="9" fontId="0" fillId="5" borderId="16" xfId="3" applyFont="1" applyFill="1" applyBorder="1" applyAlignment="1"/>
    <xf numFmtId="9" fontId="0" fillId="5" borderId="17" xfId="3" applyFont="1" applyFill="1" applyBorder="1" applyAlignment="1"/>
    <xf numFmtId="0" fontId="8" fillId="0" borderId="14" xfId="0" applyFont="1" applyBorder="1" applyAlignment="1">
      <alignment horizontal="center"/>
    </xf>
    <xf numFmtId="164" fontId="0" fillId="0" borderId="14" xfId="3" applyNumberFormat="1" applyFont="1" applyBorder="1"/>
    <xf numFmtId="164" fontId="0" fillId="0" borderId="15" xfId="3" applyNumberFormat="1" applyFont="1" applyBorder="1"/>
    <xf numFmtId="164" fontId="0" fillId="0" borderId="16" xfId="3" applyNumberFormat="1" applyFont="1" applyBorder="1" applyAlignment="1"/>
    <xf numFmtId="164" fontId="0" fillId="0" borderId="17" xfId="3" applyNumberFormat="1" applyFont="1" applyBorder="1" applyAlignment="1"/>
    <xf numFmtId="0" fontId="4" fillId="0" borderId="19" xfId="0" applyFont="1" applyBorder="1" applyAlignment="1">
      <alignment horizontal="center" vertical="center"/>
    </xf>
    <xf numFmtId="0" fontId="4" fillId="0" borderId="21" xfId="0" applyFont="1" applyBorder="1" applyAlignment="1" applyProtection="1">
      <alignment horizontal="center"/>
      <protection locked="0"/>
    </xf>
    <xf numFmtId="0" fontId="4" fillId="0" borderId="13" xfId="0" applyFont="1" applyBorder="1" applyAlignment="1" applyProtection="1">
      <alignment horizontal="center"/>
      <protection locked="0"/>
    </xf>
    <xf numFmtId="0" fontId="4" fillId="0" borderId="24" xfId="0" applyFont="1" applyBorder="1" applyAlignment="1" applyProtection="1">
      <alignment horizontal="center"/>
      <protection locked="0"/>
    </xf>
    <xf numFmtId="0" fontId="4" fillId="0" borderId="25" xfId="0" applyFont="1" applyBorder="1" applyAlignment="1" applyProtection="1">
      <alignment horizontal="center"/>
      <protection locked="0"/>
    </xf>
    <xf numFmtId="0" fontId="4" fillId="0" borderId="1" xfId="0" applyFont="1" applyBorder="1" applyAlignment="1" applyProtection="1">
      <alignment horizontal="center"/>
      <protection locked="0"/>
    </xf>
    <xf numFmtId="165" fontId="4" fillId="0" borderId="29" xfId="0" applyNumberFormat="1" applyFont="1" applyBorder="1" applyAlignment="1" applyProtection="1">
      <alignment horizontal="center"/>
      <protection locked="0"/>
    </xf>
    <xf numFmtId="0" fontId="4" fillId="0" borderId="29" xfId="0" applyFont="1" applyBorder="1" applyAlignment="1" applyProtection="1">
      <alignment horizontal="center"/>
      <protection locked="0"/>
    </xf>
    <xf numFmtId="0" fontId="4" fillId="0" borderId="30" xfId="0" applyFont="1" applyBorder="1" applyAlignment="1" applyProtection="1">
      <alignment horizontal="center"/>
      <protection locked="0"/>
    </xf>
    <xf numFmtId="0" fontId="4" fillId="0" borderId="16" xfId="0" applyFont="1" applyBorder="1" applyAlignment="1" applyProtection="1">
      <alignment horizontal="center"/>
      <protection locked="0"/>
    </xf>
    <xf numFmtId="165" fontId="4" fillId="0" borderId="17" xfId="0" applyNumberFormat="1" applyFont="1" applyBorder="1" applyAlignment="1" applyProtection="1">
      <alignment horizontal="center"/>
      <protection locked="0"/>
    </xf>
    <xf numFmtId="10" fontId="5" fillId="0" borderId="1" xfId="3" applyNumberFormat="1" applyFont="1" applyBorder="1" applyProtection="1">
      <protection locked="0"/>
    </xf>
    <xf numFmtId="10" fontId="4" fillId="0" borderId="1" xfId="3" applyNumberFormat="1" applyFont="1" applyBorder="1" applyProtection="1">
      <protection locked="0"/>
    </xf>
    <xf numFmtId="10" fontId="0" fillId="2" borderId="0" xfId="0" applyNumberFormat="1" applyFill="1"/>
    <xf numFmtId="0" fontId="4" fillId="5" borderId="1" xfId="0" applyFont="1" applyFill="1" applyBorder="1" applyAlignment="1">
      <alignment horizontal="center"/>
    </xf>
    <xf numFmtId="2" fontId="4" fillId="0" borderId="1" xfId="2" applyNumberFormat="1" applyFont="1" applyBorder="1"/>
    <xf numFmtId="10" fontId="4" fillId="5" borderId="1" xfId="3" applyNumberFormat="1" applyFont="1" applyFill="1" applyBorder="1" applyProtection="1">
      <protection locked="0"/>
    </xf>
    <xf numFmtId="0" fontId="4" fillId="0" borderId="1" xfId="2" applyNumberFormat="1" applyFont="1" applyBorder="1" applyProtection="1">
      <protection locked="0"/>
    </xf>
    <xf numFmtId="9" fontId="4" fillId="0" borderId="1" xfId="3" applyFont="1" applyBorder="1"/>
    <xf numFmtId="0" fontId="10" fillId="5" borderId="11" xfId="0" applyFont="1" applyFill="1" applyBorder="1" applyAlignment="1">
      <alignment horizontal="center" vertical="center"/>
    </xf>
    <xf numFmtId="0" fontId="10" fillId="5" borderId="38" xfId="0" applyFont="1" applyFill="1" applyBorder="1" applyAlignment="1">
      <alignment horizontal="center" vertical="center"/>
    </xf>
    <xf numFmtId="0" fontId="8" fillId="0" borderId="37" xfId="0" applyFont="1" applyBorder="1" applyAlignment="1">
      <alignment horizontal="center"/>
    </xf>
    <xf numFmtId="0" fontId="8" fillId="0" borderId="1" xfId="0" applyFont="1" applyBorder="1" applyAlignment="1">
      <alignment horizontal="center"/>
    </xf>
    <xf numFmtId="0" fontId="3" fillId="2" borderId="0" xfId="0" applyFont="1" applyFill="1"/>
    <xf numFmtId="0" fontId="4" fillId="0" borderId="1" xfId="0" applyFont="1" applyBorder="1" applyAlignment="1">
      <alignment vertical="center"/>
    </xf>
    <xf numFmtId="0" fontId="4" fillId="0" borderId="26" xfId="0" applyFont="1" applyBorder="1" applyAlignment="1">
      <alignment horizontal="center" vertical="center"/>
    </xf>
    <xf numFmtId="9" fontId="4" fillId="0" borderId="1" xfId="3" applyFont="1" applyBorder="1" applyAlignment="1" applyProtection="1">
      <alignment horizontal="center"/>
      <protection locked="0"/>
    </xf>
    <xf numFmtId="0" fontId="3" fillId="2" borderId="0" xfId="0" applyFont="1" applyFill="1" applyAlignment="1">
      <alignment horizontal="center"/>
    </xf>
    <xf numFmtId="9" fontId="4" fillId="0" borderId="1" xfId="3" applyFont="1" applyBorder="1" applyAlignment="1" applyProtection="1">
      <alignment horizontal="right"/>
      <protection locked="0"/>
    </xf>
    <xf numFmtId="9" fontId="5" fillId="0" borderId="1" xfId="3" applyFont="1" applyBorder="1" applyAlignment="1" applyProtection="1">
      <alignment horizontal="right"/>
      <protection locked="0"/>
    </xf>
    <xf numFmtId="0" fontId="0" fillId="2" borderId="0" xfId="0" applyFill="1" applyAlignment="1">
      <alignment horizontal="center"/>
    </xf>
    <xf numFmtId="0" fontId="0" fillId="0" borderId="1" xfId="0" applyBorder="1"/>
    <xf numFmtId="0" fontId="2" fillId="0" borderId="0" xfId="0" applyFont="1" applyAlignment="1">
      <alignment horizontal="center"/>
    </xf>
    <xf numFmtId="0" fontId="2" fillId="0" borderId="39" xfId="0" applyFont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9" xfId="0" applyBorder="1" applyAlignment="1">
      <alignment horizontal="center"/>
    </xf>
    <xf numFmtId="0" fontId="4" fillId="0" borderId="26" xfId="0" applyFont="1" applyBorder="1" applyAlignment="1">
      <alignment horizontal="center"/>
    </xf>
    <xf numFmtId="0" fontId="0" fillId="0" borderId="1" xfId="0" applyBorder="1" applyProtection="1">
      <protection locked="0"/>
    </xf>
    <xf numFmtId="2" fontId="0" fillId="0" borderId="1" xfId="3" applyNumberFormat="1" applyFont="1" applyBorder="1" applyProtection="1">
      <protection locked="0"/>
    </xf>
    <xf numFmtId="166" fontId="0" fillId="0" borderId="1" xfId="0" applyNumberFormat="1" applyBorder="1"/>
    <xf numFmtId="2" fontId="2" fillId="0" borderId="1" xfId="0" applyNumberFormat="1" applyFont="1" applyBorder="1"/>
    <xf numFmtId="0" fontId="12" fillId="0" borderId="1" xfId="0" applyFont="1" applyBorder="1" applyAlignment="1">
      <alignment horizontal="center"/>
    </xf>
    <xf numFmtId="0" fontId="12" fillId="2" borderId="0" xfId="0" applyFont="1" applyFill="1" applyAlignment="1">
      <alignment horizontal="center"/>
    </xf>
    <xf numFmtId="0" fontId="2" fillId="2" borderId="0" xfId="0" applyFont="1" applyFill="1"/>
    <xf numFmtId="0" fontId="4" fillId="2" borderId="0" xfId="0" applyFont="1" applyFill="1" applyAlignment="1">
      <alignment horizontal="center"/>
    </xf>
    <xf numFmtId="44" fontId="4" fillId="2" borderId="0" xfId="2" applyFont="1" applyFill="1" applyBorder="1"/>
    <xf numFmtId="164" fontId="4" fillId="0" borderId="1" xfId="3" applyNumberFormat="1" applyFont="1" applyBorder="1"/>
    <xf numFmtId="0" fontId="4" fillId="0" borderId="16" xfId="0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10" fontId="4" fillId="0" borderId="13" xfId="3" applyNumberFormat="1" applyFont="1" applyBorder="1"/>
    <xf numFmtId="10" fontId="5" fillId="0" borderId="13" xfId="3" applyNumberFormat="1" applyFont="1" applyBorder="1"/>
    <xf numFmtId="10" fontId="4" fillId="0" borderId="1" xfId="3" applyNumberFormat="1" applyFont="1" applyBorder="1"/>
    <xf numFmtId="10" fontId="5" fillId="0" borderId="1" xfId="3" applyNumberFormat="1" applyFont="1" applyBorder="1"/>
    <xf numFmtId="0" fontId="2" fillId="5" borderId="11" xfId="0" applyFont="1" applyFill="1" applyBorder="1"/>
    <xf numFmtId="0" fontId="2" fillId="5" borderId="38" xfId="0" applyFont="1" applyFill="1" applyBorder="1"/>
    <xf numFmtId="0" fontId="8" fillId="0" borderId="21" xfId="0" applyFont="1" applyBorder="1" applyAlignment="1">
      <alignment horizontal="center"/>
    </xf>
    <xf numFmtId="0" fontId="0" fillId="0" borderId="13" xfId="0" applyBorder="1"/>
    <xf numFmtId="0" fontId="0" fillId="0" borderId="24" xfId="0" applyBorder="1"/>
    <xf numFmtId="0" fontId="8" fillId="0" borderId="42" xfId="0" applyFont="1" applyBorder="1" applyAlignment="1">
      <alignment horizontal="center"/>
    </xf>
    <xf numFmtId="9" fontId="0" fillId="0" borderId="37" xfId="3" applyFont="1" applyBorder="1" applyAlignment="1"/>
    <xf numFmtId="9" fontId="0" fillId="0" borderId="31" xfId="3" applyFont="1" applyBorder="1" applyAlignment="1"/>
    <xf numFmtId="9" fontId="0" fillId="0" borderId="17" xfId="3" applyFont="1" applyBorder="1" applyAlignment="1"/>
    <xf numFmtId="9" fontId="0" fillId="0" borderId="43" xfId="3" applyFont="1" applyBorder="1" applyAlignment="1"/>
    <xf numFmtId="0" fontId="0" fillId="0" borderId="22" xfId="0" applyBorder="1"/>
    <xf numFmtId="0" fontId="0" fillId="0" borderId="15" xfId="0" applyBorder="1"/>
    <xf numFmtId="0" fontId="8" fillId="0" borderId="30" xfId="0" applyFont="1" applyBorder="1" applyAlignment="1">
      <alignment horizontal="center"/>
    </xf>
    <xf numFmtId="9" fontId="0" fillId="0" borderId="16" xfId="3" applyFont="1" applyBorder="1" applyAlignment="1"/>
    <xf numFmtId="0" fontId="4" fillId="0" borderId="44" xfId="0" applyFont="1" applyBorder="1" applyAlignment="1">
      <alignment horizontal="center"/>
    </xf>
    <xf numFmtId="10" fontId="4" fillId="0" borderId="16" xfId="3" applyNumberFormat="1" applyFont="1" applyBorder="1"/>
    <xf numFmtId="0" fontId="2" fillId="0" borderId="1" xfId="0" applyFont="1" applyBorder="1"/>
    <xf numFmtId="10" fontId="4" fillId="0" borderId="13" xfId="3" applyNumberFormat="1" applyFont="1" applyBorder="1" applyProtection="1">
      <protection locked="0"/>
    </xf>
    <xf numFmtId="10" fontId="2" fillId="0" borderId="1" xfId="3" applyNumberFormat="1" applyFont="1" applyBorder="1" applyAlignment="1">
      <alignment horizontal="center"/>
    </xf>
    <xf numFmtId="10" fontId="2" fillId="0" borderId="13" xfId="3" applyNumberFormat="1" applyFont="1" applyBorder="1" applyAlignment="1">
      <alignment horizontal="center"/>
    </xf>
    <xf numFmtId="10" fontId="2" fillId="0" borderId="16" xfId="3" applyNumberFormat="1" applyFont="1" applyBorder="1" applyAlignment="1">
      <alignment horizontal="center"/>
    </xf>
    <xf numFmtId="165" fontId="2" fillId="5" borderId="38" xfId="0" applyNumberFormat="1" applyFont="1" applyFill="1" applyBorder="1" applyProtection="1">
      <protection locked="0"/>
    </xf>
    <xf numFmtId="0" fontId="2" fillId="5" borderId="38" xfId="0" applyFont="1" applyFill="1" applyBorder="1" applyProtection="1">
      <protection locked="0"/>
    </xf>
    <xf numFmtId="2" fontId="2" fillId="5" borderId="11" xfId="0" applyNumberFormat="1" applyFont="1" applyFill="1" applyBorder="1"/>
    <xf numFmtId="165" fontId="0" fillId="0" borderId="13" xfId="0" applyNumberFormat="1" applyBorder="1"/>
    <xf numFmtId="2" fontId="2" fillId="0" borderId="14" xfId="0" applyNumberFormat="1" applyFont="1" applyBorder="1"/>
    <xf numFmtId="0" fontId="0" fillId="0" borderId="14" xfId="0" applyBorder="1"/>
    <xf numFmtId="9" fontId="0" fillId="0" borderId="1" xfId="3" applyFont="1" applyBorder="1" applyAlignment="1"/>
    <xf numFmtId="9" fontId="2" fillId="0" borderId="1" xfId="3" applyFont="1" applyFill="1" applyBorder="1" applyAlignment="1"/>
    <xf numFmtId="9" fontId="2" fillId="0" borderId="16" xfId="3" applyFont="1" applyFill="1" applyBorder="1" applyAlignment="1"/>
    <xf numFmtId="10" fontId="2" fillId="5" borderId="38" xfId="3" applyNumberFormat="1" applyFont="1" applyFill="1" applyBorder="1" applyAlignment="1" applyProtection="1">
      <protection locked="0"/>
    </xf>
    <xf numFmtId="165" fontId="2" fillId="5" borderId="11" xfId="0" applyNumberFormat="1" applyFont="1" applyFill="1" applyBorder="1" applyProtection="1">
      <protection locked="0"/>
    </xf>
    <xf numFmtId="0" fontId="2" fillId="5" borderId="11" xfId="0" applyFont="1" applyFill="1" applyBorder="1" applyProtection="1">
      <protection locked="0"/>
    </xf>
    <xf numFmtId="10" fontId="2" fillId="5" borderId="11" xfId="3" applyNumberFormat="1" applyFont="1" applyFill="1" applyBorder="1" applyAlignment="1" applyProtection="1">
      <protection locked="0"/>
    </xf>
    <xf numFmtId="0" fontId="4" fillId="0" borderId="37" xfId="0" applyFont="1" applyBorder="1"/>
    <xf numFmtId="0" fontId="3" fillId="3" borderId="0" xfId="0" applyFont="1" applyFill="1"/>
    <xf numFmtId="0" fontId="0" fillId="5" borderId="1" xfId="0" applyFill="1" applyBorder="1"/>
    <xf numFmtId="9" fontId="4" fillId="0" borderId="25" xfId="3" applyFont="1" applyBorder="1" applyAlignment="1" applyProtection="1">
      <alignment horizontal="right"/>
      <protection locked="0"/>
    </xf>
    <xf numFmtId="9" fontId="4" fillId="0" borderId="29" xfId="3" applyFont="1" applyBorder="1" applyAlignment="1" applyProtection="1">
      <alignment horizontal="right"/>
      <protection locked="0"/>
    </xf>
    <xf numFmtId="0" fontId="4" fillId="0" borderId="47" xfId="0" applyFont="1" applyBorder="1" applyAlignment="1">
      <alignment horizontal="center" vertical="center"/>
    </xf>
    <xf numFmtId="0" fontId="4" fillId="0" borderId="48" xfId="0" applyFont="1" applyBorder="1" applyAlignment="1">
      <alignment horizontal="center" vertical="center"/>
    </xf>
    <xf numFmtId="0" fontId="4" fillId="5" borderId="48" xfId="0" applyFont="1" applyFill="1" applyBorder="1" applyAlignment="1">
      <alignment horizontal="center" vertical="center"/>
    </xf>
    <xf numFmtId="9" fontId="4" fillId="5" borderId="25" xfId="3" applyFont="1" applyFill="1" applyBorder="1" applyAlignment="1" applyProtection="1">
      <alignment horizontal="right"/>
      <protection locked="0"/>
    </xf>
    <xf numFmtId="9" fontId="4" fillId="5" borderId="1" xfId="3" applyFont="1" applyFill="1" applyBorder="1" applyAlignment="1" applyProtection="1">
      <alignment horizontal="right"/>
      <protection locked="0"/>
    </xf>
    <xf numFmtId="9" fontId="5" fillId="5" borderId="1" xfId="3" applyFont="1" applyFill="1" applyBorder="1" applyAlignment="1" applyProtection="1">
      <alignment horizontal="right"/>
      <protection locked="0"/>
    </xf>
    <xf numFmtId="9" fontId="4" fillId="5" borderId="29" xfId="3" applyFont="1" applyFill="1" applyBorder="1" applyAlignment="1" applyProtection="1">
      <alignment horizontal="right"/>
      <protection locked="0"/>
    </xf>
    <xf numFmtId="0" fontId="10" fillId="0" borderId="49" xfId="0" applyFont="1" applyBorder="1" applyAlignment="1">
      <alignment horizontal="center" vertical="center"/>
    </xf>
    <xf numFmtId="9" fontId="10" fillId="0" borderId="30" xfId="3" applyFont="1" applyBorder="1" applyAlignment="1" applyProtection="1">
      <alignment horizontal="right"/>
      <protection locked="0"/>
    </xf>
    <xf numFmtId="9" fontId="10" fillId="0" borderId="16" xfId="3" applyFont="1" applyBorder="1" applyAlignment="1" applyProtection="1">
      <alignment horizontal="right"/>
      <protection locked="0"/>
    </xf>
    <xf numFmtId="9" fontId="10" fillId="0" borderId="17" xfId="3" applyFont="1" applyBorder="1" applyAlignment="1" applyProtection="1">
      <alignment horizontal="right"/>
      <protection locked="0"/>
    </xf>
    <xf numFmtId="9" fontId="4" fillId="0" borderId="21" xfId="3" applyFont="1" applyBorder="1" applyAlignment="1" applyProtection="1">
      <alignment horizontal="right"/>
      <protection locked="0"/>
    </xf>
    <xf numFmtId="9" fontId="4" fillId="0" borderId="13" xfId="3" applyFont="1" applyBorder="1" applyAlignment="1" applyProtection="1">
      <alignment horizontal="right"/>
      <protection locked="0"/>
    </xf>
    <xf numFmtId="9" fontId="4" fillId="0" borderId="24" xfId="3" applyFont="1" applyBorder="1" applyAlignment="1" applyProtection="1">
      <alignment horizontal="right"/>
      <protection locked="0"/>
    </xf>
    <xf numFmtId="2" fontId="2" fillId="5" borderId="38" xfId="0" applyNumberFormat="1" applyFont="1" applyFill="1" applyBorder="1"/>
    <xf numFmtId="165" fontId="4" fillId="0" borderId="1" xfId="2" applyNumberFormat="1" applyFont="1" applyBorder="1" applyProtection="1">
      <protection locked="0"/>
    </xf>
    <xf numFmtId="165" fontId="4" fillId="5" borderId="1" xfId="2" applyNumberFormat="1" applyFont="1" applyFill="1" applyBorder="1" applyProtection="1">
      <protection locked="0"/>
    </xf>
    <xf numFmtId="165" fontId="5" fillId="5" borderId="1" xfId="2" applyNumberFormat="1" applyFont="1" applyFill="1" applyBorder="1" applyProtection="1">
      <protection locked="0"/>
    </xf>
    <xf numFmtId="0" fontId="4" fillId="5" borderId="1" xfId="3" applyNumberFormat="1" applyFont="1" applyFill="1" applyBorder="1" applyProtection="1">
      <protection locked="0"/>
    </xf>
    <xf numFmtId="2" fontId="4" fillId="5" borderId="1" xfId="3" applyNumberFormat="1" applyFont="1" applyFill="1" applyBorder="1" applyProtection="1">
      <protection locked="0"/>
    </xf>
    <xf numFmtId="2" fontId="4" fillId="5" borderId="1" xfId="2" applyNumberFormat="1" applyFont="1" applyFill="1" applyBorder="1" applyProtection="1">
      <protection locked="0"/>
    </xf>
    <xf numFmtId="2" fontId="5" fillId="5" borderId="1" xfId="2" applyNumberFormat="1" applyFont="1" applyFill="1" applyBorder="1" applyProtection="1">
      <protection locked="0"/>
    </xf>
    <xf numFmtId="2" fontId="2" fillId="5" borderId="34" xfId="0" applyNumberFormat="1" applyFont="1" applyFill="1" applyBorder="1"/>
    <xf numFmtId="2" fontId="2" fillId="0" borderId="22" xfId="0" applyNumberFormat="1" applyFont="1" applyBorder="1"/>
    <xf numFmtId="9" fontId="2" fillId="0" borderId="31" xfId="3" applyFont="1" applyFill="1" applyBorder="1" applyAlignment="1"/>
    <xf numFmtId="0" fontId="2" fillId="5" borderId="34" xfId="0" applyFont="1" applyFill="1" applyBorder="1" applyProtection="1">
      <protection locked="0"/>
    </xf>
    <xf numFmtId="43" fontId="2" fillId="5" borderId="34" xfId="1" applyFont="1" applyFill="1" applyBorder="1" applyAlignment="1" applyProtection="1">
      <protection locked="0"/>
    </xf>
    <xf numFmtId="165" fontId="2" fillId="5" borderId="34" xfId="0" applyNumberFormat="1" applyFont="1" applyFill="1" applyBorder="1" applyProtection="1">
      <protection locked="0"/>
    </xf>
    <xf numFmtId="165" fontId="0" fillId="0" borderId="22" xfId="0" applyNumberFormat="1" applyBorder="1"/>
    <xf numFmtId="10" fontId="2" fillId="5" borderId="18" xfId="3" applyNumberFormat="1" applyFont="1" applyFill="1" applyBorder="1" applyAlignment="1" applyProtection="1">
      <protection locked="0"/>
    </xf>
    <xf numFmtId="0" fontId="0" fillId="0" borderId="14" xfId="1" applyNumberFormat="1" applyFont="1" applyBorder="1" applyAlignment="1"/>
    <xf numFmtId="10" fontId="0" fillId="0" borderId="16" xfId="3" applyNumberFormat="1" applyFont="1" applyBorder="1" applyAlignment="1"/>
    <xf numFmtId="167" fontId="0" fillId="0" borderId="14" xfId="0" applyNumberFormat="1" applyBorder="1"/>
    <xf numFmtId="10" fontId="2" fillId="5" borderId="18" xfId="0" applyNumberFormat="1" applyFont="1" applyFill="1" applyBorder="1" applyProtection="1">
      <protection locked="0"/>
    </xf>
    <xf numFmtId="0" fontId="8" fillId="0" borderId="16" xfId="0" applyFont="1" applyBorder="1" applyAlignment="1">
      <alignment horizontal="center"/>
    </xf>
    <xf numFmtId="0" fontId="2" fillId="5" borderId="0" xfId="0" applyFont="1" applyFill="1" applyProtection="1">
      <protection locked="0"/>
    </xf>
    <xf numFmtId="0" fontId="14" fillId="0" borderId="1" xfId="0" applyFont="1" applyBorder="1"/>
    <xf numFmtId="2" fontId="14" fillId="0" borderId="1" xfId="0" applyNumberFormat="1" applyFont="1" applyBorder="1"/>
    <xf numFmtId="0" fontId="14" fillId="5" borderId="1" xfId="0" applyFont="1" applyFill="1" applyBorder="1"/>
    <xf numFmtId="2" fontId="14" fillId="5" borderId="1" xfId="0" applyNumberFormat="1" applyFont="1" applyFill="1" applyBorder="1"/>
    <xf numFmtId="0" fontId="0" fillId="2" borderId="38" xfId="0" applyFill="1" applyBorder="1"/>
    <xf numFmtId="0" fontId="15" fillId="2" borderId="0" xfId="0" applyFont="1" applyFill="1"/>
    <xf numFmtId="0" fontId="2" fillId="2" borderId="3" xfId="0" applyFont="1" applyFill="1" applyBorder="1"/>
    <xf numFmtId="0" fontId="2" fillId="2" borderId="38" xfId="0" applyFont="1" applyFill="1" applyBorder="1"/>
    <xf numFmtId="1" fontId="2" fillId="2" borderId="3" xfId="0" applyNumberFormat="1" applyFont="1" applyFill="1" applyBorder="1" applyAlignment="1">
      <alignment horizontal="center"/>
    </xf>
    <xf numFmtId="1" fontId="2" fillId="2" borderId="38" xfId="0" applyNumberFormat="1" applyFont="1" applyFill="1" applyBorder="1" applyAlignment="1">
      <alignment horizontal="center"/>
    </xf>
    <xf numFmtId="1" fontId="2" fillId="2" borderId="50" xfId="0" applyNumberFormat="1" applyFont="1" applyFill="1" applyBorder="1" applyAlignment="1">
      <alignment horizontal="center"/>
    </xf>
    <xf numFmtId="43" fontId="2" fillId="2" borderId="34" xfId="1" applyFont="1" applyFill="1" applyBorder="1" applyAlignment="1"/>
    <xf numFmtId="168" fontId="0" fillId="0" borderId="16" xfId="1" applyNumberFormat="1" applyFont="1" applyBorder="1" applyAlignment="1" applyProtection="1">
      <protection locked="0"/>
    </xf>
    <xf numFmtId="1" fontId="0" fillId="0" borderId="16" xfId="1" applyNumberFormat="1" applyFont="1" applyBorder="1" applyAlignment="1" applyProtection="1">
      <protection locked="0"/>
    </xf>
    <xf numFmtId="1" fontId="0" fillId="0" borderId="14" xfId="0" applyNumberFormat="1" applyBorder="1" applyProtection="1">
      <protection locked="0"/>
    </xf>
    <xf numFmtId="44" fontId="4" fillId="4" borderId="1" xfId="2" applyFont="1" applyFill="1" applyBorder="1"/>
    <xf numFmtId="0" fontId="0" fillId="4" borderId="1" xfId="0" applyFill="1" applyBorder="1" applyProtection="1">
      <protection locked="0"/>
    </xf>
    <xf numFmtId="0" fontId="4" fillId="4" borderId="1" xfId="2" applyNumberFormat="1" applyFont="1" applyFill="1" applyBorder="1"/>
    <xf numFmtId="9" fontId="4" fillId="4" borderId="1" xfId="3" applyFont="1" applyFill="1" applyBorder="1"/>
    <xf numFmtId="9" fontId="4" fillId="4" borderId="1" xfId="2" applyNumberFormat="1" applyFont="1" applyFill="1" applyBorder="1"/>
    <xf numFmtId="0" fontId="4" fillId="4" borderId="13" xfId="2" applyNumberFormat="1" applyFont="1" applyFill="1" applyBorder="1"/>
    <xf numFmtId="0" fontId="0" fillId="4" borderId="1" xfId="0" applyFill="1" applyBorder="1"/>
    <xf numFmtId="1" fontId="0" fillId="4" borderId="1" xfId="3" applyNumberFormat="1" applyFont="1" applyFill="1" applyBorder="1" applyProtection="1"/>
    <xf numFmtId="0" fontId="0" fillId="4" borderId="30" xfId="0" applyFill="1" applyBorder="1" applyAlignment="1" applyProtection="1">
      <alignment horizontal="center"/>
      <protection locked="0"/>
    </xf>
    <xf numFmtId="0" fontId="0" fillId="4" borderId="16" xfId="0" applyFill="1" applyBorder="1" applyAlignment="1" applyProtection="1">
      <alignment horizontal="center"/>
      <protection locked="0"/>
    </xf>
    <xf numFmtId="0" fontId="0" fillId="4" borderId="17" xfId="0" applyFill="1" applyBorder="1" applyAlignment="1" applyProtection="1">
      <alignment horizontal="center"/>
      <protection locked="0"/>
    </xf>
    <xf numFmtId="0" fontId="0" fillId="4" borderId="1" xfId="0" applyFill="1" applyBorder="1" applyAlignment="1" applyProtection="1">
      <alignment horizontal="center"/>
      <protection locked="0"/>
    </xf>
    <xf numFmtId="10" fontId="4" fillId="0" borderId="1" xfId="3" applyNumberFormat="1" applyFont="1" applyBorder="1" applyAlignment="1">
      <alignment horizontal="center" vertical="center"/>
    </xf>
    <xf numFmtId="10" fontId="4" fillId="0" borderId="16" xfId="3" applyNumberFormat="1" applyFont="1" applyBorder="1" applyAlignment="1">
      <alignment horizontal="center" vertical="center"/>
    </xf>
    <xf numFmtId="10" fontId="4" fillId="0" borderId="13" xfId="3" applyNumberFormat="1" applyFont="1" applyBorder="1" applyAlignment="1">
      <alignment horizontal="center"/>
    </xf>
    <xf numFmtId="10" fontId="5" fillId="0" borderId="13" xfId="3" applyNumberFormat="1" applyFont="1" applyBorder="1" applyAlignment="1">
      <alignment horizontal="center"/>
    </xf>
    <xf numFmtId="10" fontId="4" fillId="0" borderId="1" xfId="3" applyNumberFormat="1" applyFont="1" applyBorder="1" applyAlignment="1">
      <alignment horizontal="center"/>
    </xf>
    <xf numFmtId="10" fontId="5" fillId="0" borderId="1" xfId="3" applyNumberFormat="1" applyFont="1" applyBorder="1" applyAlignment="1">
      <alignment horizontal="center"/>
    </xf>
    <xf numFmtId="10" fontId="5" fillId="0" borderId="16" xfId="3" applyNumberFormat="1" applyFont="1" applyBorder="1" applyAlignment="1">
      <alignment horizontal="center"/>
    </xf>
    <xf numFmtId="0" fontId="17" fillId="5" borderId="38" xfId="0" applyFont="1" applyFill="1" applyBorder="1"/>
    <xf numFmtId="0" fontId="3" fillId="3" borderId="0" xfId="0" applyFont="1" applyFill="1" applyAlignment="1">
      <alignment horizontal="center"/>
    </xf>
    <xf numFmtId="0" fontId="0" fillId="0" borderId="1" xfId="0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5" borderId="1" xfId="0" applyFill="1" applyBorder="1" applyAlignment="1">
      <alignment horizontal="center"/>
    </xf>
    <xf numFmtId="0" fontId="4" fillId="0" borderId="37" xfId="0" applyFont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16" fillId="3" borderId="0" xfId="0" applyFont="1" applyFill="1" applyAlignment="1">
      <alignment horizontal="center"/>
    </xf>
    <xf numFmtId="164" fontId="5" fillId="0" borderId="13" xfId="3" applyNumberFormat="1" applyFont="1" applyBorder="1" applyAlignment="1">
      <alignment horizontal="center"/>
    </xf>
    <xf numFmtId="164" fontId="5" fillId="0" borderId="1" xfId="3" applyNumberFormat="1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164" fontId="4" fillId="0" borderId="1" xfId="3" applyNumberFormat="1" applyFont="1" applyBorder="1" applyAlignment="1">
      <alignment horizontal="center" vertical="center"/>
    </xf>
    <xf numFmtId="10" fontId="10" fillId="0" borderId="16" xfId="3" applyNumberFormat="1" applyFont="1" applyBorder="1" applyProtection="1">
      <protection locked="0"/>
    </xf>
    <xf numFmtId="10" fontId="10" fillId="0" borderId="51" xfId="3" applyNumberFormat="1" applyFont="1" applyBorder="1" applyProtection="1">
      <protection locked="0"/>
    </xf>
    <xf numFmtId="9" fontId="0" fillId="2" borderId="0" xfId="0" applyNumberFormat="1" applyFill="1"/>
    <xf numFmtId="1" fontId="0" fillId="2" borderId="0" xfId="0" applyNumberFormat="1" applyFill="1"/>
    <xf numFmtId="9" fontId="4" fillId="4" borderId="37" xfId="2" applyNumberFormat="1" applyFont="1" applyFill="1" applyBorder="1"/>
    <xf numFmtId="9" fontId="4" fillId="4" borderId="37" xfId="3" applyFont="1" applyFill="1" applyBorder="1"/>
    <xf numFmtId="0" fontId="0" fillId="7" borderId="0" xfId="0" applyFill="1"/>
    <xf numFmtId="44" fontId="10" fillId="0" borderId="1" xfId="2" applyFont="1" applyBorder="1"/>
    <xf numFmtId="9" fontId="10" fillId="0" borderId="1" xfId="3" applyFont="1" applyBorder="1"/>
    <xf numFmtId="164" fontId="10" fillId="0" borderId="1" xfId="3" applyNumberFormat="1" applyFont="1" applyBorder="1"/>
    <xf numFmtId="169" fontId="10" fillId="0" borderId="1" xfId="2" applyNumberFormat="1" applyFont="1" applyBorder="1"/>
    <xf numFmtId="167" fontId="4" fillId="4" borderId="16" xfId="2" applyNumberFormat="1" applyFont="1" applyFill="1" applyBorder="1"/>
    <xf numFmtId="167" fontId="4" fillId="4" borderId="16" xfId="3" applyNumberFormat="1" applyFont="1" applyFill="1" applyBorder="1"/>
    <xf numFmtId="43" fontId="4" fillId="4" borderId="16" xfId="1" applyFont="1" applyFill="1" applyBorder="1" applyAlignment="1">
      <alignment horizontal="left" indent="8"/>
    </xf>
    <xf numFmtId="170" fontId="4" fillId="4" borderId="1" xfId="1" applyNumberFormat="1" applyFont="1" applyFill="1" applyBorder="1"/>
    <xf numFmtId="0" fontId="19" fillId="3" borderId="0" xfId="0" applyFont="1" applyFill="1" applyAlignment="1">
      <alignment horizontal="center"/>
    </xf>
    <xf numFmtId="0" fontId="20" fillId="0" borderId="25" xfId="0" applyFont="1" applyBorder="1" applyAlignment="1">
      <alignment horizontal="center"/>
    </xf>
    <xf numFmtId="0" fontId="20" fillId="4" borderId="30" xfId="0" applyFont="1" applyFill="1" applyBorder="1" applyAlignment="1" applyProtection="1">
      <alignment horizontal="center"/>
      <protection locked="0"/>
    </xf>
    <xf numFmtId="0" fontId="0" fillId="2" borderId="0" xfId="0" applyFill="1" applyAlignment="1">
      <alignment horizontal="center" vertical="center"/>
    </xf>
    <xf numFmtId="0" fontId="21" fillId="2" borderId="0" xfId="0" applyFont="1" applyFill="1" applyAlignment="1">
      <alignment horizontal="center" vertical="center"/>
    </xf>
    <xf numFmtId="0" fontId="22" fillId="2" borderId="0" xfId="0" applyFont="1" applyFill="1" applyAlignment="1">
      <alignment horizontal="center" vertical="center"/>
    </xf>
    <xf numFmtId="9" fontId="22" fillId="2" borderId="0" xfId="3" applyFont="1" applyFill="1" applyAlignment="1">
      <alignment horizontal="center" vertical="center"/>
    </xf>
    <xf numFmtId="0" fontId="22" fillId="2" borderId="0" xfId="0" applyFont="1" applyFill="1" applyAlignment="1">
      <alignment horizontal="center"/>
    </xf>
    <xf numFmtId="0" fontId="22" fillId="2" borderId="39" xfId="0" applyFont="1" applyFill="1" applyBorder="1" applyAlignment="1">
      <alignment horizontal="center"/>
    </xf>
    <xf numFmtId="0" fontId="23" fillId="2" borderId="0" xfId="0" applyFont="1" applyFill="1"/>
    <xf numFmtId="2" fontId="22" fillId="2" borderId="0" xfId="0" applyNumberFormat="1" applyFont="1" applyFill="1"/>
    <xf numFmtId="164" fontId="22" fillId="2" borderId="0" xfId="3" applyNumberFormat="1" applyFont="1" applyFill="1" applyAlignment="1">
      <alignment horizontal="center" vertical="center"/>
    </xf>
    <xf numFmtId="10" fontId="22" fillId="2" borderId="0" xfId="3" applyNumberFormat="1" applyFont="1" applyFill="1" applyAlignment="1">
      <alignment horizontal="right" vertical="center"/>
    </xf>
    <xf numFmtId="0" fontId="4" fillId="0" borderId="18" xfId="0" applyFont="1" applyBorder="1" applyAlignment="1">
      <alignment horizontal="center"/>
    </xf>
    <xf numFmtId="171" fontId="10" fillId="0" borderId="19" xfId="1" applyNumberFormat="1" applyFont="1" applyBorder="1" applyProtection="1">
      <protection locked="0"/>
    </xf>
    <xf numFmtId="0" fontId="4" fillId="0" borderId="13" xfId="0" applyFont="1" applyBorder="1" applyAlignment="1">
      <alignment horizontal="center" vertical="center"/>
    </xf>
    <xf numFmtId="9" fontId="10" fillId="0" borderId="19" xfId="3" applyFont="1" applyBorder="1" applyProtection="1">
      <protection locked="0"/>
    </xf>
    <xf numFmtId="0" fontId="0" fillId="8" borderId="1" xfId="0" applyFill="1" applyBorder="1" applyProtection="1">
      <protection locked="0"/>
    </xf>
    <xf numFmtId="0" fontId="4" fillId="9" borderId="26" xfId="0" applyFont="1" applyFill="1" applyBorder="1" applyAlignment="1">
      <alignment horizontal="center"/>
    </xf>
    <xf numFmtId="2" fontId="2" fillId="9" borderId="1" xfId="0" applyNumberFormat="1" applyFont="1" applyFill="1" applyBorder="1"/>
    <xf numFmtId="0" fontId="0" fillId="9" borderId="1" xfId="0" applyFill="1" applyBorder="1" applyAlignment="1">
      <alignment horizontal="center"/>
    </xf>
    <xf numFmtId="0" fontId="12" fillId="9" borderId="1" xfId="0" applyFont="1" applyFill="1" applyBorder="1" applyAlignment="1">
      <alignment horizontal="center"/>
    </xf>
    <xf numFmtId="0" fontId="0" fillId="9" borderId="0" xfId="0" applyFill="1"/>
    <xf numFmtId="167" fontId="0" fillId="8" borderId="1" xfId="0" applyNumberFormat="1" applyFill="1" applyBorder="1" applyProtection="1">
      <protection locked="0"/>
    </xf>
    <xf numFmtId="169" fontId="10" fillId="8" borderId="1" xfId="2" applyNumberFormat="1" applyFont="1" applyFill="1" applyBorder="1"/>
    <xf numFmtId="9" fontId="10" fillId="8" borderId="1" xfId="3" applyFont="1" applyFill="1" applyBorder="1"/>
    <xf numFmtId="44" fontId="10" fillId="8" borderId="1" xfId="2" applyFont="1" applyFill="1" applyBorder="1"/>
    <xf numFmtId="164" fontId="10" fillId="8" borderId="1" xfId="3" applyNumberFormat="1" applyFont="1" applyFill="1" applyBorder="1"/>
    <xf numFmtId="10" fontId="4" fillId="8" borderId="1" xfId="3" applyNumberFormat="1" applyFont="1" applyFill="1" applyBorder="1" applyProtection="1">
      <protection locked="0"/>
    </xf>
    <xf numFmtId="10" fontId="10" fillId="8" borderId="16" xfId="3" applyNumberFormat="1" applyFont="1" applyFill="1" applyBorder="1" applyProtection="1">
      <protection locked="0"/>
    </xf>
    <xf numFmtId="10" fontId="4" fillId="8" borderId="13" xfId="3" applyNumberFormat="1" applyFont="1" applyFill="1" applyBorder="1" applyProtection="1">
      <protection locked="0"/>
    </xf>
    <xf numFmtId="10" fontId="10" fillId="8" borderId="51" xfId="3" applyNumberFormat="1" applyFont="1" applyFill="1" applyBorder="1" applyProtection="1">
      <protection locked="0"/>
    </xf>
    <xf numFmtId="1" fontId="22" fillId="2" borderId="39" xfId="0" applyNumberFormat="1" applyFont="1" applyFill="1" applyBorder="1" applyAlignment="1">
      <alignment horizontal="center"/>
    </xf>
    <xf numFmtId="1" fontId="22" fillId="2" borderId="0" xfId="0" applyNumberFormat="1" applyFont="1" applyFill="1" applyAlignment="1">
      <alignment horizontal="center"/>
    </xf>
    <xf numFmtId="2" fontId="22" fillId="2" borderId="39" xfId="0" applyNumberFormat="1" applyFont="1" applyFill="1" applyBorder="1" applyAlignment="1">
      <alignment horizontal="center"/>
    </xf>
    <xf numFmtId="2" fontId="22" fillId="2" borderId="0" xfId="0" applyNumberFormat="1" applyFont="1" applyFill="1" applyAlignment="1">
      <alignment horizontal="center"/>
    </xf>
    <xf numFmtId="0" fontId="22" fillId="2" borderId="0" xfId="0" applyFont="1" applyFill="1" applyAlignment="1">
      <alignment vertical="center"/>
    </xf>
    <xf numFmtId="169" fontId="22" fillId="2" borderId="0" xfId="2" applyNumberFormat="1" applyFont="1" applyFill="1" applyAlignment="1">
      <alignment horizontal="right" vertical="center"/>
    </xf>
    <xf numFmtId="9" fontId="22" fillId="2" borderId="0" xfId="3" applyFont="1" applyFill="1" applyAlignment="1">
      <alignment horizontal="right" vertical="center"/>
    </xf>
    <xf numFmtId="0" fontId="23" fillId="2" borderId="0" xfId="0" applyFont="1" applyFill="1" applyAlignment="1">
      <alignment horizontal="right"/>
    </xf>
    <xf numFmtId="167" fontId="22" fillId="2" borderId="0" xfId="0" applyNumberFormat="1" applyFont="1" applyFill="1" applyAlignment="1">
      <alignment horizontal="center"/>
    </xf>
    <xf numFmtId="0" fontId="4" fillId="0" borderId="37" xfId="0" applyFont="1" applyBorder="1" applyAlignment="1">
      <alignment horizontal="center" vertical="center"/>
    </xf>
    <xf numFmtId="9" fontId="10" fillId="0" borderId="45" xfId="3" applyFont="1" applyBorder="1" applyProtection="1">
      <protection locked="0"/>
    </xf>
    <xf numFmtId="0" fontId="10" fillId="8" borderId="18" xfId="0" applyFont="1" applyFill="1" applyBorder="1" applyAlignment="1">
      <alignment horizontal="center"/>
    </xf>
    <xf numFmtId="0" fontId="10" fillId="8" borderId="19" xfId="0" applyFont="1" applyFill="1" applyBorder="1" applyAlignment="1">
      <alignment horizontal="center" vertical="center"/>
    </xf>
    <xf numFmtId="0" fontId="10" fillId="8" borderId="20" xfId="0" applyFont="1" applyFill="1" applyBorder="1" applyAlignment="1">
      <alignment horizontal="center" vertical="center"/>
    </xf>
    <xf numFmtId="0" fontId="10" fillId="8" borderId="40" xfId="0" applyFont="1" applyFill="1" applyBorder="1" applyAlignment="1">
      <alignment horizontal="center"/>
    </xf>
    <xf numFmtId="0" fontId="10" fillId="8" borderId="14" xfId="0" applyFont="1" applyFill="1" applyBorder="1" applyAlignment="1">
      <alignment horizontal="center" vertical="center"/>
    </xf>
    <xf numFmtId="0" fontId="10" fillId="8" borderId="15" xfId="0" applyFont="1" applyFill="1" applyBorder="1" applyAlignment="1">
      <alignment horizontal="center" vertical="center"/>
    </xf>
    <xf numFmtId="0" fontId="10" fillId="8" borderId="25" xfId="0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 vertical="center"/>
    </xf>
    <xf numFmtId="0" fontId="10" fillId="8" borderId="29" xfId="0" applyFont="1" applyFill="1" applyBorder="1" applyAlignment="1">
      <alignment horizontal="center" vertical="center"/>
    </xf>
    <xf numFmtId="0" fontId="10" fillId="8" borderId="30" xfId="0" applyFont="1" applyFill="1" applyBorder="1" applyAlignment="1">
      <alignment horizontal="center"/>
    </xf>
    <xf numFmtId="0" fontId="10" fillId="8" borderId="16" xfId="0" applyFont="1" applyFill="1" applyBorder="1" applyAlignment="1">
      <alignment horizontal="center" vertical="center"/>
    </xf>
    <xf numFmtId="0" fontId="10" fillId="8" borderId="17" xfId="0" applyFont="1" applyFill="1" applyBorder="1" applyAlignment="1">
      <alignment horizontal="center" vertical="center"/>
    </xf>
    <xf numFmtId="0" fontId="10" fillId="7" borderId="16" xfId="0" applyFont="1" applyFill="1" applyBorder="1" applyAlignment="1">
      <alignment horizontal="center" vertical="center"/>
    </xf>
    <xf numFmtId="0" fontId="10" fillId="7" borderId="6" xfId="0" applyFont="1" applyFill="1" applyBorder="1" applyAlignment="1">
      <alignment horizontal="center" vertical="center"/>
    </xf>
    <xf numFmtId="0" fontId="4" fillId="0" borderId="54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/>
    </xf>
    <xf numFmtId="0" fontId="10" fillId="7" borderId="28" xfId="0" applyFont="1" applyFill="1" applyBorder="1" applyAlignment="1">
      <alignment horizontal="center" vertical="center"/>
    </xf>
    <xf numFmtId="0" fontId="10" fillId="7" borderId="33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/>
    </xf>
    <xf numFmtId="0" fontId="4" fillId="0" borderId="48" xfId="0" applyFont="1" applyBorder="1" applyAlignment="1">
      <alignment horizontal="center"/>
    </xf>
    <xf numFmtId="0" fontId="4" fillId="0" borderId="56" xfId="0" applyFont="1" applyBorder="1" applyAlignment="1">
      <alignment horizontal="center"/>
    </xf>
    <xf numFmtId="0" fontId="4" fillId="0" borderId="57" xfId="0" applyFont="1" applyBorder="1" applyAlignment="1">
      <alignment horizontal="center" vertical="center"/>
    </xf>
    <xf numFmtId="0" fontId="4" fillId="0" borderId="58" xfId="0" applyFont="1" applyBorder="1" applyAlignment="1">
      <alignment horizontal="center" vertical="center"/>
    </xf>
    <xf numFmtId="0" fontId="10" fillId="7" borderId="31" xfId="0" applyFont="1" applyFill="1" applyBorder="1" applyAlignment="1">
      <alignment horizontal="center" vertical="center"/>
    </xf>
    <xf numFmtId="0" fontId="10" fillId="8" borderId="44" xfId="0" applyFont="1" applyFill="1" applyBorder="1" applyAlignment="1">
      <alignment horizontal="center"/>
    </xf>
    <xf numFmtId="0" fontId="4" fillId="0" borderId="11" xfId="0" applyFont="1" applyBorder="1" applyAlignment="1">
      <alignment horizontal="center" vertical="center"/>
    </xf>
    <xf numFmtId="0" fontId="10" fillId="8" borderId="38" xfId="0" applyFont="1" applyFill="1" applyBorder="1" applyAlignment="1">
      <alignment horizontal="center" vertical="center"/>
    </xf>
    <xf numFmtId="0" fontId="10" fillId="7" borderId="38" xfId="0" applyFont="1" applyFill="1" applyBorder="1" applyAlignment="1">
      <alignment horizontal="center" vertical="center"/>
    </xf>
    <xf numFmtId="0" fontId="4" fillId="0" borderId="55" xfId="0" applyFont="1" applyBorder="1" applyAlignment="1">
      <alignment horizontal="center" vertical="center"/>
    </xf>
    <xf numFmtId="0" fontId="10" fillId="8" borderId="47" xfId="0" applyFont="1" applyFill="1" applyBorder="1" applyAlignment="1">
      <alignment horizontal="center" vertical="center"/>
    </xf>
    <xf numFmtId="0" fontId="10" fillId="7" borderId="48" xfId="0" applyFont="1" applyFill="1" applyBorder="1" applyAlignment="1">
      <alignment horizontal="center" vertical="center"/>
    </xf>
    <xf numFmtId="0" fontId="10" fillId="7" borderId="49" xfId="0" applyFont="1" applyFill="1" applyBorder="1" applyAlignment="1">
      <alignment horizontal="center" vertical="center"/>
    </xf>
    <xf numFmtId="171" fontId="10" fillId="5" borderId="6" xfId="1" applyNumberFormat="1" applyFont="1" applyFill="1" applyBorder="1" applyProtection="1">
      <protection locked="0"/>
    </xf>
    <xf numFmtId="171" fontId="10" fillId="5" borderId="19" xfId="1" applyNumberFormat="1" applyFont="1" applyFill="1" applyBorder="1" applyProtection="1">
      <protection locked="0"/>
    </xf>
    <xf numFmtId="171" fontId="10" fillId="5" borderId="7" xfId="1" applyNumberFormat="1" applyFont="1" applyFill="1" applyBorder="1" applyProtection="1">
      <protection locked="0"/>
    </xf>
    <xf numFmtId="171" fontId="10" fillId="5" borderId="38" xfId="1" applyNumberFormat="1" applyFont="1" applyFill="1" applyBorder="1" applyProtection="1">
      <protection locked="0"/>
    </xf>
    <xf numFmtId="9" fontId="10" fillId="5" borderId="60" xfId="3" applyFont="1" applyFill="1" applyBorder="1" applyProtection="1">
      <protection locked="0"/>
    </xf>
    <xf numFmtId="9" fontId="10" fillId="5" borderId="45" xfId="3" applyFont="1" applyFill="1" applyBorder="1" applyProtection="1">
      <protection locked="0"/>
    </xf>
    <xf numFmtId="9" fontId="10" fillId="5" borderId="59" xfId="3" applyFont="1" applyFill="1" applyBorder="1" applyProtection="1">
      <protection locked="0"/>
    </xf>
    <xf numFmtId="9" fontId="10" fillId="5" borderId="11" xfId="3" applyFont="1" applyFill="1" applyBorder="1" applyProtection="1">
      <protection locked="0"/>
    </xf>
    <xf numFmtId="9" fontId="10" fillId="5" borderId="6" xfId="3" applyFont="1" applyFill="1" applyBorder="1" applyProtection="1">
      <protection locked="0"/>
    </xf>
    <xf numFmtId="9" fontId="10" fillId="5" borderId="19" xfId="3" applyFont="1" applyFill="1" applyBorder="1" applyProtection="1">
      <protection locked="0"/>
    </xf>
    <xf numFmtId="9" fontId="10" fillId="5" borderId="7" xfId="3" applyFont="1" applyFill="1" applyBorder="1" applyProtection="1">
      <protection locked="0"/>
    </xf>
    <xf numFmtId="9" fontId="10" fillId="5" borderId="38" xfId="3" applyFont="1" applyFill="1" applyBorder="1" applyProtection="1">
      <protection locked="0"/>
    </xf>
    <xf numFmtId="0" fontId="4" fillId="7" borderId="38" xfId="0" applyFont="1" applyFill="1" applyBorder="1" applyAlignment="1">
      <alignment horizontal="center"/>
    </xf>
    <xf numFmtId="0" fontId="24" fillId="5" borderId="38" xfId="0" applyFont="1" applyFill="1" applyBorder="1" applyAlignment="1">
      <alignment horizontal="center"/>
    </xf>
    <xf numFmtId="0" fontId="4" fillId="5" borderId="1" xfId="0" applyFont="1" applyFill="1" applyBorder="1" applyAlignment="1">
      <alignment horizontal="center" vertical="center"/>
    </xf>
    <xf numFmtId="9" fontId="4" fillId="5" borderId="1" xfId="3" applyFont="1" applyFill="1" applyBorder="1" applyAlignment="1" applyProtection="1">
      <alignment horizontal="center"/>
      <protection locked="0"/>
    </xf>
    <xf numFmtId="10" fontId="22" fillId="2" borderId="0" xfId="0" applyNumberFormat="1" applyFont="1" applyFill="1" applyAlignment="1">
      <alignment horizontal="center" vertical="center"/>
    </xf>
    <xf numFmtId="0" fontId="10" fillId="8" borderId="45" xfId="0" applyFont="1" applyFill="1" applyBorder="1" applyAlignment="1">
      <alignment horizontal="center" vertical="center"/>
    </xf>
    <xf numFmtId="0" fontId="10" fillId="8" borderId="11" xfId="0" applyFont="1" applyFill="1" applyBorder="1" applyAlignment="1">
      <alignment horizontal="center" vertical="center"/>
    </xf>
    <xf numFmtId="0" fontId="4" fillId="7" borderId="55" xfId="0" applyFont="1" applyFill="1" applyBorder="1" applyAlignment="1">
      <alignment horizontal="center"/>
    </xf>
    <xf numFmtId="0" fontId="4" fillId="7" borderId="48" xfId="0" applyFont="1" applyFill="1" applyBorder="1" applyAlignment="1">
      <alignment horizontal="center"/>
    </xf>
    <xf numFmtId="0" fontId="4" fillId="0" borderId="49" xfId="0" applyFont="1" applyBorder="1" applyAlignment="1">
      <alignment horizontal="center"/>
    </xf>
    <xf numFmtId="0" fontId="4" fillId="10" borderId="47" xfId="0" applyFont="1" applyFill="1" applyBorder="1" applyAlignment="1">
      <alignment horizontal="center"/>
    </xf>
    <xf numFmtId="0" fontId="10" fillId="10" borderId="23" xfId="0" applyFont="1" applyFill="1" applyBorder="1" applyAlignment="1">
      <alignment horizontal="center" vertical="center"/>
    </xf>
    <xf numFmtId="0" fontId="10" fillId="10" borderId="15" xfId="0" applyFont="1" applyFill="1" applyBorder="1" applyAlignment="1">
      <alignment horizontal="center" vertical="center"/>
    </xf>
    <xf numFmtId="0" fontId="4" fillId="10" borderId="49" xfId="0" applyFont="1" applyFill="1" applyBorder="1" applyAlignment="1">
      <alignment horizontal="center"/>
    </xf>
    <xf numFmtId="0" fontId="10" fillId="10" borderId="33" xfId="0" applyFont="1" applyFill="1" applyBorder="1" applyAlignment="1">
      <alignment horizontal="center" vertical="center"/>
    </xf>
    <xf numFmtId="0" fontId="10" fillId="10" borderId="17" xfId="0" applyFont="1" applyFill="1" applyBorder="1" applyAlignment="1">
      <alignment horizontal="center" vertical="center"/>
    </xf>
    <xf numFmtId="0" fontId="22" fillId="2" borderId="0" xfId="1" applyNumberFormat="1" applyFont="1" applyFill="1" applyAlignment="1">
      <alignment horizontal="center" vertical="center"/>
    </xf>
    <xf numFmtId="0" fontId="25" fillId="2" borderId="0" xfId="0" applyFont="1" applyFill="1"/>
    <xf numFmtId="9" fontId="22" fillId="2" borderId="0" xfId="0" applyNumberFormat="1" applyFont="1" applyFill="1" applyAlignment="1">
      <alignment horizontal="center" vertical="center"/>
    </xf>
    <xf numFmtId="9" fontId="0" fillId="4" borderId="1" xfId="3" applyFont="1" applyFill="1" applyBorder="1" applyAlignment="1" applyProtection="1">
      <alignment horizontal="center"/>
      <protection locked="0"/>
    </xf>
    <xf numFmtId="2" fontId="0" fillId="0" borderId="1" xfId="0" applyNumberFormat="1" applyBorder="1"/>
    <xf numFmtId="171" fontId="2" fillId="5" borderId="34" xfId="1" applyNumberFormat="1" applyFont="1" applyFill="1" applyBorder="1" applyProtection="1">
      <protection locked="0"/>
    </xf>
    <xf numFmtId="10" fontId="0" fillId="0" borderId="0" xfId="3" applyNumberFormat="1" applyFont="1"/>
    <xf numFmtId="16" fontId="22" fillId="2" borderId="0" xfId="3" applyNumberFormat="1" applyFont="1" applyFill="1" applyAlignment="1">
      <alignment horizontal="center" vertical="center"/>
    </xf>
    <xf numFmtId="170" fontId="4" fillId="4" borderId="16" xfId="1" applyNumberFormat="1" applyFont="1" applyFill="1" applyBorder="1" applyAlignment="1">
      <alignment horizontal="left" indent="8"/>
    </xf>
    <xf numFmtId="0" fontId="0" fillId="0" borderId="11" xfId="0" applyBorder="1"/>
    <xf numFmtId="0" fontId="0" fillId="3" borderId="11" xfId="0" applyFill="1" applyBorder="1"/>
    <xf numFmtId="0" fontId="0" fillId="0" borderId="21" xfId="0" applyBorder="1"/>
    <xf numFmtId="0" fontId="0" fillId="0" borderId="42" xfId="0" applyBorder="1"/>
    <xf numFmtId="0" fontId="0" fillId="0" borderId="37" xfId="0" applyBorder="1"/>
    <xf numFmtId="16" fontId="0" fillId="0" borderId="21" xfId="0" applyNumberFormat="1" applyBorder="1"/>
    <xf numFmtId="10" fontId="0" fillId="3" borderId="13" xfId="3" applyNumberFormat="1" applyFont="1" applyFill="1" applyBorder="1"/>
    <xf numFmtId="10" fontId="0" fillId="0" borderId="13" xfId="3" applyNumberFormat="1" applyFont="1" applyBorder="1"/>
    <xf numFmtId="10" fontId="0" fillId="3" borderId="37" xfId="3" applyNumberFormat="1" applyFont="1" applyFill="1" applyBorder="1"/>
    <xf numFmtId="10" fontId="0" fillId="0" borderId="37" xfId="3" applyNumberFormat="1" applyFont="1" applyBorder="1"/>
    <xf numFmtId="10" fontId="0" fillId="3" borderId="38" xfId="3" applyNumberFormat="1" applyFont="1" applyFill="1" applyBorder="1"/>
    <xf numFmtId="10" fontId="0" fillId="0" borderId="38" xfId="3" applyNumberFormat="1" applyFont="1" applyBorder="1"/>
    <xf numFmtId="0" fontId="0" fillId="0" borderId="50" xfId="0" applyBorder="1"/>
    <xf numFmtId="0" fontId="0" fillId="0" borderId="2" xfId="0" applyBorder="1"/>
    <xf numFmtId="171" fontId="0" fillId="3" borderId="13" xfId="1" applyNumberFormat="1" applyFont="1" applyFill="1" applyBorder="1"/>
    <xf numFmtId="0" fontId="2" fillId="0" borderId="38" xfId="0" applyFont="1" applyBorder="1" applyAlignment="1">
      <alignment horizontal="center" vertical="center"/>
    </xf>
    <xf numFmtId="10" fontId="27" fillId="7" borderId="24" xfId="8" applyNumberFormat="1" applyFill="1" applyBorder="1"/>
    <xf numFmtId="10" fontId="0" fillId="7" borderId="43" xfId="3" applyNumberFormat="1" applyFont="1" applyFill="1" applyBorder="1"/>
    <xf numFmtId="10" fontId="0" fillId="7" borderId="38" xfId="3" applyNumberFormat="1" applyFont="1" applyFill="1" applyBorder="1"/>
    <xf numFmtId="10" fontId="0" fillId="7" borderId="37" xfId="3" applyNumberFormat="1" applyFont="1" applyFill="1" applyBorder="1"/>
    <xf numFmtId="171" fontId="0" fillId="0" borderId="13" xfId="1" applyNumberFormat="1" applyFont="1" applyBorder="1"/>
    <xf numFmtId="171" fontId="0" fillId="7" borderId="13" xfId="1" applyNumberFormat="1" applyFont="1" applyFill="1" applyBorder="1"/>
    <xf numFmtId="9" fontId="26" fillId="7" borderId="0" xfId="3" applyFont="1" applyFill="1"/>
    <xf numFmtId="9" fontId="26" fillId="7" borderId="0" xfId="0" applyNumberFormat="1" applyFont="1" applyFill="1"/>
    <xf numFmtId="0" fontId="0" fillId="7" borderId="11" xfId="0" applyFill="1" applyBorder="1"/>
    <xf numFmtId="10" fontId="27" fillId="7" borderId="43" xfId="8" applyNumberFormat="1" applyFill="1" applyBorder="1"/>
    <xf numFmtId="10" fontId="0" fillId="7" borderId="24" xfId="3" applyNumberFormat="1" applyFont="1" applyFill="1" applyBorder="1"/>
    <xf numFmtId="16" fontId="0" fillId="0" borderId="40" xfId="0" applyNumberFormat="1" applyBorder="1"/>
    <xf numFmtId="10" fontId="0" fillId="3" borderId="14" xfId="3" applyNumberFormat="1" applyFont="1" applyFill="1" applyBorder="1"/>
    <xf numFmtId="10" fontId="0" fillId="0" borderId="14" xfId="3" applyNumberFormat="1" applyFont="1" applyBorder="1"/>
    <xf numFmtId="10" fontId="27" fillId="7" borderId="15" xfId="8" applyNumberFormat="1" applyFill="1" applyBorder="1"/>
    <xf numFmtId="16" fontId="0" fillId="0" borderId="30" xfId="3" applyNumberFormat="1" applyFont="1" applyBorder="1"/>
    <xf numFmtId="0" fontId="0" fillId="0" borderId="16" xfId="0" applyBorder="1"/>
    <xf numFmtId="0" fontId="0" fillId="0" borderId="51" xfId="0" applyBorder="1"/>
    <xf numFmtId="10" fontId="0" fillId="3" borderId="16" xfId="3" applyNumberFormat="1" applyFont="1" applyFill="1" applyBorder="1"/>
    <xf numFmtId="10" fontId="0" fillId="0" borderId="16" xfId="3" applyNumberFormat="1" applyFont="1" applyBorder="1"/>
    <xf numFmtId="10" fontId="27" fillId="7" borderId="17" xfId="8" applyNumberFormat="1" applyFill="1" applyBorder="1"/>
    <xf numFmtId="0" fontId="0" fillId="0" borderId="40" xfId="0" applyBorder="1"/>
    <xf numFmtId="10" fontId="0" fillId="7" borderId="15" xfId="3" applyNumberFormat="1" applyFont="1" applyFill="1" applyBorder="1"/>
    <xf numFmtId="0" fontId="0" fillId="0" borderId="30" xfId="0" applyBorder="1"/>
    <xf numFmtId="10" fontId="0" fillId="7" borderId="17" xfId="3" applyNumberFormat="1" applyFont="1" applyFill="1" applyBorder="1"/>
    <xf numFmtId="0" fontId="33" fillId="7" borderId="0" xfId="0" applyFont="1" applyFill="1"/>
    <xf numFmtId="0" fontId="0" fillId="14" borderId="0" xfId="0" applyFill="1"/>
    <xf numFmtId="0" fontId="0" fillId="14" borderId="0" xfId="0" applyFill="1" applyAlignment="1">
      <alignment horizontal="center"/>
    </xf>
    <xf numFmtId="0" fontId="0" fillId="7" borderId="1" xfId="0" applyFill="1" applyBorder="1"/>
    <xf numFmtId="0" fontId="0" fillId="7" borderId="1" xfId="0" applyFill="1" applyBorder="1" applyAlignment="1">
      <alignment horizontal="center"/>
    </xf>
    <xf numFmtId="0" fontId="0" fillId="7" borderId="37" xfId="0" applyFill="1" applyBorder="1"/>
    <xf numFmtId="0" fontId="0" fillId="4" borderId="40" xfId="0" applyFill="1" applyBorder="1"/>
    <xf numFmtId="0" fontId="0" fillId="4" borderId="14" xfId="0" applyFill="1" applyBorder="1"/>
    <xf numFmtId="0" fontId="0" fillId="4" borderId="15" xfId="0" applyFill="1" applyBorder="1"/>
    <xf numFmtId="0" fontId="0" fillId="7" borderId="25" xfId="0" applyFill="1" applyBorder="1"/>
    <xf numFmtId="0" fontId="0" fillId="7" borderId="29" xfId="0" applyFill="1" applyBorder="1"/>
    <xf numFmtId="0" fontId="0" fillId="7" borderId="30" xfId="0" applyFill="1" applyBorder="1"/>
    <xf numFmtId="0" fontId="0" fillId="7" borderId="16" xfId="0" applyFill="1" applyBorder="1"/>
    <xf numFmtId="10" fontId="0" fillId="4" borderId="1" xfId="0" applyNumberFormat="1" applyFill="1" applyBorder="1"/>
    <xf numFmtId="10" fontId="0" fillId="7" borderId="1" xfId="0" applyNumberFormat="1" applyFill="1" applyBorder="1"/>
    <xf numFmtId="9" fontId="0" fillId="7" borderId="1" xfId="0" applyNumberFormat="1" applyFill="1" applyBorder="1"/>
    <xf numFmtId="9" fontId="0" fillId="4" borderId="1" xfId="0" applyNumberFormat="1" applyFill="1" applyBorder="1"/>
    <xf numFmtId="10" fontId="0" fillId="4" borderId="40" xfId="3" applyNumberFormat="1" applyFont="1" applyFill="1" applyBorder="1"/>
    <xf numFmtId="10" fontId="0" fillId="4" borderId="14" xfId="3" applyNumberFormat="1" applyFont="1" applyFill="1" applyBorder="1"/>
    <xf numFmtId="10" fontId="0" fillId="4" borderId="15" xfId="3" applyNumberFormat="1" applyFont="1" applyFill="1" applyBorder="1"/>
    <xf numFmtId="164" fontId="0" fillId="7" borderId="25" xfId="3" applyNumberFormat="1" applyFont="1" applyFill="1" applyBorder="1"/>
    <xf numFmtId="164" fontId="0" fillId="7" borderId="1" xfId="3" applyNumberFormat="1" applyFont="1" applyFill="1" applyBorder="1"/>
    <xf numFmtId="10" fontId="0" fillId="7" borderId="25" xfId="3" applyNumberFormat="1" applyFont="1" applyFill="1" applyBorder="1"/>
    <xf numFmtId="10" fontId="0" fillId="7" borderId="1" xfId="3" applyNumberFormat="1" applyFont="1" applyFill="1" applyBorder="1"/>
    <xf numFmtId="10" fontId="0" fillId="7" borderId="29" xfId="3" applyNumberFormat="1" applyFont="1" applyFill="1" applyBorder="1"/>
    <xf numFmtId="164" fontId="0" fillId="4" borderId="25" xfId="3" applyNumberFormat="1" applyFont="1" applyFill="1" applyBorder="1"/>
    <xf numFmtId="164" fontId="0" fillId="4" borderId="1" xfId="3" applyNumberFormat="1" applyFont="1" applyFill="1" applyBorder="1"/>
    <xf numFmtId="10" fontId="0" fillId="4" borderId="25" xfId="3" applyNumberFormat="1" applyFont="1" applyFill="1" applyBorder="1"/>
    <xf numFmtId="10" fontId="0" fillId="4" borderId="1" xfId="3" applyNumberFormat="1" applyFont="1" applyFill="1" applyBorder="1"/>
    <xf numFmtId="10" fontId="0" fillId="4" borderId="29" xfId="3" applyNumberFormat="1" applyFont="1" applyFill="1" applyBorder="1"/>
    <xf numFmtId="10" fontId="0" fillId="7" borderId="30" xfId="0" applyNumberFormat="1" applyFill="1" applyBorder="1"/>
    <xf numFmtId="10" fontId="0" fillId="7" borderId="16" xfId="0" applyNumberFormat="1" applyFill="1" applyBorder="1"/>
    <xf numFmtId="10" fontId="0" fillId="7" borderId="17" xfId="0" applyNumberFormat="1" applyFill="1" applyBorder="1"/>
    <xf numFmtId="10" fontId="0" fillId="7" borderId="25" xfId="0" applyNumberFormat="1" applyFill="1" applyBorder="1"/>
    <xf numFmtId="10" fontId="0" fillId="7" borderId="16" xfId="3" applyNumberFormat="1" applyFont="1" applyFill="1" applyBorder="1"/>
    <xf numFmtId="164" fontId="0" fillId="4" borderId="1" xfId="0" applyNumberFormat="1" applyFill="1" applyBorder="1"/>
    <xf numFmtId="164" fontId="0" fillId="7" borderId="29" xfId="0" applyNumberFormat="1" applyFill="1" applyBorder="1"/>
    <xf numFmtId="10" fontId="0" fillId="4" borderId="29" xfId="0" applyNumberFormat="1" applyFill="1" applyBorder="1"/>
    <xf numFmtId="9" fontId="0" fillId="7" borderId="16" xfId="0" applyNumberFormat="1" applyFill="1" applyBorder="1"/>
    <xf numFmtId="10" fontId="0" fillId="7" borderId="29" xfId="0" applyNumberFormat="1" applyFill="1" applyBorder="1"/>
    <xf numFmtId="9" fontId="0" fillId="4" borderId="29" xfId="0" applyNumberFormat="1" applyFill="1" applyBorder="1"/>
    <xf numFmtId="9" fontId="0" fillId="7" borderId="17" xfId="0" applyNumberFormat="1" applyFill="1" applyBorder="1"/>
    <xf numFmtId="9" fontId="0" fillId="4" borderId="25" xfId="0" applyNumberFormat="1" applyFill="1" applyBorder="1"/>
    <xf numFmtId="0" fontId="0" fillId="16" borderId="0" xfId="0" applyFill="1"/>
    <xf numFmtId="0" fontId="38" fillId="13" borderId="68" xfId="0" applyFont="1" applyFill="1" applyBorder="1" applyAlignment="1">
      <alignment horizontal="center"/>
    </xf>
    <xf numFmtId="0" fontId="26" fillId="17" borderId="71" xfId="0" applyFont="1" applyFill="1" applyBorder="1"/>
    <xf numFmtId="0" fontId="0" fillId="0" borderId="64" xfId="0" applyBorder="1"/>
    <xf numFmtId="0" fontId="0" fillId="14" borderId="25" xfId="0" applyFill="1" applyBorder="1"/>
    <xf numFmtId="44" fontId="0" fillId="14" borderId="1" xfId="2" applyFont="1" applyFill="1" applyBorder="1" applyProtection="1"/>
    <xf numFmtId="44" fontId="0" fillId="14" borderId="29" xfId="2" applyFont="1" applyFill="1" applyBorder="1" applyProtection="1"/>
    <xf numFmtId="44" fontId="0" fillId="7" borderId="1" xfId="2" applyFont="1" applyFill="1" applyBorder="1" applyProtection="1"/>
    <xf numFmtId="43" fontId="0" fillId="7" borderId="29" xfId="1" applyFont="1" applyFill="1" applyBorder="1" applyProtection="1"/>
    <xf numFmtId="43" fontId="0" fillId="7" borderId="1" xfId="1" applyFont="1" applyFill="1" applyBorder="1" applyProtection="1"/>
    <xf numFmtId="44" fontId="0" fillId="14" borderId="1" xfId="3" applyNumberFormat="1" applyFont="1" applyFill="1" applyBorder="1" applyProtection="1"/>
    <xf numFmtId="10" fontId="0" fillId="14" borderId="1" xfId="3" applyNumberFormat="1" applyFont="1" applyFill="1" applyBorder="1" applyProtection="1"/>
    <xf numFmtId="10" fontId="0" fillId="14" borderId="29" xfId="3" applyNumberFormat="1" applyFont="1" applyFill="1" applyBorder="1" applyProtection="1"/>
    <xf numFmtId="44" fontId="0" fillId="7" borderId="29" xfId="2" applyFont="1" applyFill="1" applyBorder="1" applyProtection="1"/>
    <xf numFmtId="44" fontId="0" fillId="14" borderId="29" xfId="2" applyFont="1" applyFill="1" applyBorder="1" applyAlignment="1" applyProtection="1"/>
    <xf numFmtId="44" fontId="0" fillId="16" borderId="0" xfId="2" applyFont="1" applyFill="1" applyProtection="1"/>
    <xf numFmtId="0" fontId="0" fillId="14" borderId="30" xfId="0" applyFill="1" applyBorder="1"/>
    <xf numFmtId="9" fontId="0" fillId="7" borderId="37" xfId="3" applyFont="1" applyFill="1" applyBorder="1" applyAlignment="1" applyProtection="1">
      <alignment horizontal="center"/>
    </xf>
    <xf numFmtId="9" fontId="0" fillId="7" borderId="43" xfId="3" applyFont="1" applyFill="1" applyBorder="1" applyAlignment="1" applyProtection="1">
      <alignment horizontal="center"/>
    </xf>
    <xf numFmtId="2" fontId="0" fillId="14" borderId="16" xfId="3" applyNumberFormat="1" applyFont="1" applyFill="1" applyBorder="1" applyAlignment="1" applyProtection="1">
      <alignment horizontal="center"/>
    </xf>
    <xf numFmtId="44" fontId="0" fillId="14" borderId="16" xfId="2" applyFont="1" applyFill="1" applyBorder="1" applyAlignment="1" applyProtection="1">
      <alignment horizontal="center"/>
    </xf>
    <xf numFmtId="44" fontId="33" fillId="7" borderId="17" xfId="2" applyFont="1" applyFill="1" applyBorder="1" applyAlignment="1" applyProtection="1">
      <alignment horizontal="center"/>
    </xf>
    <xf numFmtId="1" fontId="0" fillId="7" borderId="1" xfId="1" applyNumberFormat="1" applyFont="1" applyFill="1" applyBorder="1" applyProtection="1"/>
    <xf numFmtId="9" fontId="0" fillId="14" borderId="1" xfId="3" applyFont="1" applyFill="1" applyBorder="1" applyProtection="1"/>
    <xf numFmtId="0" fontId="0" fillId="7" borderId="1" xfId="1" applyNumberFormat="1" applyFont="1" applyFill="1" applyBorder="1" applyProtection="1"/>
    <xf numFmtId="0" fontId="32" fillId="14" borderId="0" xfId="0" applyFont="1" applyFill="1"/>
    <xf numFmtId="9" fontId="0" fillId="14" borderId="0" xfId="0" applyNumberFormat="1" applyFill="1"/>
    <xf numFmtId="44" fontId="0" fillId="14" borderId="0" xfId="0" applyNumberFormat="1" applyFill="1"/>
    <xf numFmtId="1" fontId="0" fillId="14" borderId="0" xfId="1" applyNumberFormat="1" applyFont="1" applyFill="1"/>
    <xf numFmtId="1" fontId="0" fillId="14" borderId="0" xfId="0" applyNumberFormat="1" applyFill="1"/>
    <xf numFmtId="164" fontId="0" fillId="14" borderId="0" xfId="3" applyNumberFormat="1" applyFont="1" applyFill="1"/>
    <xf numFmtId="10" fontId="0" fillId="14" borderId="0" xfId="3" applyNumberFormat="1" applyFont="1" applyFill="1"/>
    <xf numFmtId="2" fontId="0" fillId="14" borderId="0" xfId="0" applyNumberFormat="1" applyFill="1"/>
    <xf numFmtId="172" fontId="0" fillId="14" borderId="0" xfId="0" applyNumberFormat="1" applyFill="1"/>
    <xf numFmtId="44" fontId="0" fillId="14" borderId="0" xfId="2" applyFont="1" applyFill="1"/>
    <xf numFmtId="0" fontId="26" fillId="7" borderId="0" xfId="0" applyFont="1" applyFill="1"/>
    <xf numFmtId="0" fontId="2" fillId="0" borderId="9" xfId="0" applyFont="1" applyBorder="1" applyAlignment="1">
      <alignment horizontal="center" vertical="center"/>
    </xf>
    <xf numFmtId="10" fontId="0" fillId="3" borderId="11" xfId="3" applyNumberFormat="1" applyFont="1" applyFill="1" applyBorder="1"/>
    <xf numFmtId="10" fontId="0" fillId="0" borderId="11" xfId="3" applyNumberFormat="1" applyFont="1" applyBorder="1"/>
    <xf numFmtId="10" fontId="0" fillId="7" borderId="11" xfId="3" applyNumberFormat="1" applyFont="1" applyFill="1" applyBorder="1"/>
    <xf numFmtId="10" fontId="0" fillId="3" borderId="73" xfId="3" applyNumberFormat="1" applyFont="1" applyFill="1" applyBorder="1"/>
    <xf numFmtId="10" fontId="0" fillId="0" borderId="73" xfId="3" applyNumberFormat="1" applyFont="1" applyBorder="1"/>
    <xf numFmtId="10" fontId="0" fillId="7" borderId="74" xfId="3" applyNumberFormat="1" applyFont="1" applyFill="1" applyBorder="1"/>
    <xf numFmtId="0" fontId="29" fillId="11" borderId="76" xfId="0" applyFont="1" applyFill="1" applyBorder="1" applyAlignment="1">
      <alignment horizontal="center"/>
    </xf>
    <xf numFmtId="171" fontId="0" fillId="3" borderId="77" xfId="1" applyNumberFormat="1" applyFont="1" applyFill="1" applyBorder="1"/>
    <xf numFmtId="10" fontId="0" fillId="3" borderId="78" xfId="3" applyNumberFormat="1" applyFont="1" applyFill="1" applyBorder="1"/>
    <xf numFmtId="10" fontId="0" fillId="0" borderId="76" xfId="3" applyNumberFormat="1" applyFont="1" applyBorder="1"/>
    <xf numFmtId="10" fontId="0" fillId="0" borderId="79" xfId="3" applyNumberFormat="1" applyFont="1" applyBorder="1"/>
    <xf numFmtId="171" fontId="0" fillId="0" borderId="58" xfId="1" applyNumberFormat="1" applyFont="1" applyBorder="1"/>
    <xf numFmtId="171" fontId="0" fillId="3" borderId="54" xfId="1" applyNumberFormat="1" applyFont="1" applyFill="1" applyBorder="1"/>
    <xf numFmtId="10" fontId="0" fillId="3" borderId="80" xfId="3" applyNumberFormat="1" applyFont="1" applyFill="1" applyBorder="1"/>
    <xf numFmtId="10" fontId="0" fillId="0" borderId="80" xfId="3" applyNumberFormat="1" applyFont="1" applyBorder="1"/>
    <xf numFmtId="171" fontId="0" fillId="3" borderId="81" xfId="1" applyNumberFormat="1" applyFont="1" applyFill="1" applyBorder="1"/>
    <xf numFmtId="171" fontId="0" fillId="0" borderId="82" xfId="1" applyNumberFormat="1" applyFont="1" applyBorder="1"/>
    <xf numFmtId="10" fontId="0" fillId="3" borderId="79" xfId="3" applyNumberFormat="1" applyFont="1" applyFill="1" applyBorder="1"/>
    <xf numFmtId="10" fontId="0" fillId="0" borderId="75" xfId="3" applyNumberFormat="1" applyFont="1" applyBorder="1"/>
    <xf numFmtId="10" fontId="0" fillId="3" borderId="76" xfId="3" applyNumberFormat="1" applyFont="1" applyFill="1" applyBorder="1"/>
    <xf numFmtId="0" fontId="2" fillId="0" borderId="9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10" fontId="0" fillId="3" borderId="83" xfId="3" applyNumberFormat="1" applyFont="1" applyFill="1" applyBorder="1"/>
    <xf numFmtId="0" fontId="29" fillId="11" borderId="84" xfId="0" applyFont="1" applyFill="1" applyBorder="1" applyAlignment="1">
      <alignment horizontal="center"/>
    </xf>
    <xf numFmtId="0" fontId="29" fillId="11" borderId="85" xfId="0" applyFont="1" applyFill="1" applyBorder="1" applyAlignment="1">
      <alignment horizontal="center"/>
    </xf>
    <xf numFmtId="0" fontId="29" fillId="11" borderId="86" xfId="0" applyFont="1" applyFill="1" applyBorder="1" applyAlignment="1">
      <alignment horizontal="center"/>
    </xf>
    <xf numFmtId="0" fontId="29" fillId="11" borderId="87" xfId="0" applyFont="1" applyFill="1" applyBorder="1" applyAlignment="1">
      <alignment horizontal="center"/>
    </xf>
    <xf numFmtId="0" fontId="29" fillId="11" borderId="88" xfId="0" applyFont="1" applyFill="1" applyBorder="1" applyAlignment="1">
      <alignment horizontal="center"/>
    </xf>
    <xf numFmtId="171" fontId="0" fillId="3" borderId="89" xfId="1" applyNumberFormat="1" applyFont="1" applyFill="1" applyBorder="1"/>
    <xf numFmtId="0" fontId="0" fillId="0" borderId="90" xfId="0" applyBorder="1"/>
    <xf numFmtId="0" fontId="2" fillId="0" borderId="34" xfId="0" applyFont="1" applyBorder="1" applyAlignment="1">
      <alignment horizontal="center" vertical="center"/>
    </xf>
    <xf numFmtId="9" fontId="0" fillId="3" borderId="91" xfId="3" applyFont="1" applyFill="1" applyBorder="1"/>
    <xf numFmtId="0" fontId="0" fillId="0" borderId="92" xfId="0" applyBorder="1"/>
    <xf numFmtId="0" fontId="28" fillId="13" borderId="2" xfId="0" applyFont="1" applyFill="1" applyBorder="1"/>
    <xf numFmtId="9" fontId="31" fillId="0" borderId="96" xfId="3" applyFont="1" applyBorder="1" applyAlignment="1"/>
    <xf numFmtId="9" fontId="31" fillId="0" borderId="97" xfId="3" applyFont="1" applyBorder="1" applyAlignment="1"/>
    <xf numFmtId="9" fontId="31" fillId="0" borderId="98" xfId="3" applyFont="1" applyBorder="1" applyAlignment="1"/>
    <xf numFmtId="0" fontId="2" fillId="0" borderId="99" xfId="0" applyFont="1" applyBorder="1" applyAlignment="1">
      <alignment horizontal="center" vertical="center"/>
    </xf>
    <xf numFmtId="0" fontId="0" fillId="0" borderId="100" xfId="0" applyBorder="1"/>
    <xf numFmtId="170" fontId="4" fillId="4" borderId="16" xfId="1" applyNumberFormat="1" applyFont="1" applyFill="1" applyBorder="1"/>
    <xf numFmtId="10" fontId="4" fillId="0" borderId="13" xfId="3" applyNumberFormat="1" applyFont="1" applyBorder="1" applyAlignment="1">
      <alignment horizontal="center" vertical="center"/>
    </xf>
    <xf numFmtId="0" fontId="4" fillId="0" borderId="102" xfId="0" applyFont="1" applyBorder="1" applyAlignment="1">
      <alignment horizontal="center" wrapText="1"/>
    </xf>
    <xf numFmtId="14" fontId="4" fillId="0" borderId="103" xfId="0" applyNumberFormat="1" applyFont="1" applyBorder="1" applyAlignment="1">
      <alignment horizontal="center" wrapText="1"/>
    </xf>
    <xf numFmtId="0" fontId="4" fillId="0" borderId="103" xfId="0" applyFont="1" applyBorder="1" applyAlignment="1">
      <alignment horizontal="center" wrapText="1"/>
    </xf>
    <xf numFmtId="8" fontId="4" fillId="0" borderId="103" xfId="0" applyNumberFormat="1" applyFont="1" applyBorder="1" applyAlignment="1">
      <alignment horizontal="center" wrapText="1"/>
    </xf>
    <xf numFmtId="0" fontId="4" fillId="0" borderId="104" xfId="0" applyFont="1" applyBorder="1" applyAlignment="1">
      <alignment horizontal="center" wrapText="1"/>
    </xf>
    <xf numFmtId="14" fontId="4" fillId="0" borderId="105" xfId="0" applyNumberFormat="1" applyFont="1" applyBorder="1" applyAlignment="1">
      <alignment horizontal="center" wrapText="1"/>
    </xf>
    <xf numFmtId="0" fontId="4" fillId="0" borderId="105" xfId="0" applyFont="1" applyBorder="1" applyAlignment="1">
      <alignment horizontal="center" wrapText="1"/>
    </xf>
    <xf numFmtId="8" fontId="4" fillId="0" borderId="105" xfId="0" applyNumberFormat="1" applyFont="1" applyBorder="1" applyAlignment="1">
      <alignment horizontal="center" wrapText="1"/>
    </xf>
    <xf numFmtId="6" fontId="4" fillId="0" borderId="105" xfId="0" applyNumberFormat="1" applyFont="1" applyBorder="1" applyAlignment="1">
      <alignment horizontal="center" wrapText="1"/>
    </xf>
    <xf numFmtId="0" fontId="0" fillId="0" borderId="105" xfId="0" applyBorder="1" applyAlignment="1">
      <alignment wrapText="1"/>
    </xf>
    <xf numFmtId="16" fontId="0" fillId="0" borderId="25" xfId="0" applyNumberFormat="1" applyBorder="1"/>
    <xf numFmtId="10" fontId="0" fillId="3" borderId="1" xfId="3" applyNumberFormat="1" applyFont="1" applyFill="1" applyBorder="1"/>
    <xf numFmtId="10" fontId="0" fillId="0" borderId="1" xfId="3" applyNumberFormat="1" applyFont="1" applyBorder="1"/>
    <xf numFmtId="10" fontId="27" fillId="7" borderId="29" xfId="8" applyNumberFormat="1" applyFill="1" applyBorder="1"/>
    <xf numFmtId="43" fontId="0" fillId="4" borderId="1" xfId="1" applyFont="1" applyFill="1" applyBorder="1"/>
    <xf numFmtId="43" fontId="2" fillId="4" borderId="1" xfId="1" applyFont="1" applyFill="1" applyBorder="1"/>
    <xf numFmtId="43" fontId="0" fillId="7" borderId="29" xfId="1" applyFont="1" applyFill="1" applyBorder="1"/>
    <xf numFmtId="171" fontId="0" fillId="7" borderId="25" xfId="1" applyNumberFormat="1" applyFont="1" applyFill="1" applyBorder="1"/>
    <xf numFmtId="171" fontId="0" fillId="7" borderId="1" xfId="1" applyNumberFormat="1" applyFont="1" applyFill="1" applyBorder="1"/>
    <xf numFmtId="171" fontId="0" fillId="7" borderId="29" xfId="1" applyNumberFormat="1" applyFont="1" applyFill="1" applyBorder="1"/>
    <xf numFmtId="10" fontId="1" fillId="4" borderId="1" xfId="3" applyNumberFormat="1" applyFont="1" applyFill="1" applyBorder="1"/>
    <xf numFmtId="10" fontId="1" fillId="7" borderId="1" xfId="3" applyNumberFormat="1" applyFont="1" applyFill="1" applyBorder="1"/>
    <xf numFmtId="10" fontId="0" fillId="4" borderId="28" xfId="3" applyNumberFormat="1" applyFont="1" applyFill="1" applyBorder="1"/>
    <xf numFmtId="10" fontId="0" fillId="7" borderId="28" xfId="3" applyNumberFormat="1" applyFont="1" applyFill="1" applyBorder="1"/>
    <xf numFmtId="10" fontId="0" fillId="7" borderId="33" xfId="3" applyNumberFormat="1" applyFont="1" applyFill="1" applyBorder="1"/>
    <xf numFmtId="10" fontId="0" fillId="4" borderId="23" xfId="3" applyNumberFormat="1" applyFont="1" applyFill="1" applyBorder="1"/>
    <xf numFmtId="10" fontId="0" fillId="7" borderId="60" xfId="3" applyNumberFormat="1" applyFont="1" applyFill="1" applyBorder="1"/>
    <xf numFmtId="10" fontId="0" fillId="7" borderId="45" xfId="3" applyNumberFormat="1" applyFont="1" applyFill="1" applyBorder="1"/>
    <xf numFmtId="10" fontId="0" fillId="4" borderId="54" xfId="3" applyNumberFormat="1" applyFont="1" applyFill="1" applyBorder="1"/>
    <xf numFmtId="10" fontId="0" fillId="4" borderId="13" xfId="3" applyNumberFormat="1" applyFont="1" applyFill="1" applyBorder="1"/>
    <xf numFmtId="0" fontId="0" fillId="7" borderId="53" xfId="0" applyFill="1" applyBorder="1" applyAlignment="1">
      <alignment horizontal="left"/>
    </xf>
    <xf numFmtId="0" fontId="0" fillId="7" borderId="32" xfId="0" applyFill="1" applyBorder="1" applyAlignment="1">
      <alignment horizontal="left"/>
    </xf>
    <xf numFmtId="0" fontId="0" fillId="7" borderId="52" xfId="0" applyFill="1" applyBorder="1" applyAlignment="1">
      <alignment horizontal="left"/>
    </xf>
    <xf numFmtId="0" fontId="0" fillId="4" borderId="62" xfId="0" applyFill="1" applyBorder="1" applyAlignment="1">
      <alignment horizontal="left"/>
    </xf>
    <xf numFmtId="0" fontId="0" fillId="4" borderId="114" xfId="0" applyFill="1" applyBorder="1" applyAlignment="1">
      <alignment horizontal="left"/>
    </xf>
    <xf numFmtId="0" fontId="0" fillId="4" borderId="61" xfId="0" applyFill="1" applyBorder="1" applyAlignment="1">
      <alignment horizontal="left"/>
    </xf>
    <xf numFmtId="43" fontId="0" fillId="7" borderId="46" xfId="1" applyFont="1" applyFill="1" applyBorder="1"/>
    <xf numFmtId="43" fontId="0" fillId="4" borderId="15" xfId="1" applyFont="1" applyFill="1" applyBorder="1"/>
    <xf numFmtId="43" fontId="0" fillId="7" borderId="17" xfId="1" applyFont="1" applyFill="1" applyBorder="1"/>
    <xf numFmtId="43" fontId="0" fillId="4" borderId="24" xfId="1" applyFont="1" applyFill="1" applyBorder="1"/>
    <xf numFmtId="43" fontId="0" fillId="4" borderId="29" xfId="1" applyFont="1" applyFill="1" applyBorder="1"/>
    <xf numFmtId="10" fontId="14" fillId="7" borderId="33" xfId="3" applyNumberFormat="1" applyFont="1" applyFill="1" applyBorder="1"/>
    <xf numFmtId="10" fontId="14" fillId="7" borderId="16" xfId="3" applyNumberFormat="1" applyFont="1" applyFill="1" applyBorder="1"/>
    <xf numFmtId="0" fontId="2" fillId="14" borderId="0" xfId="0" applyFont="1" applyFill="1"/>
    <xf numFmtId="0" fontId="2" fillId="14" borderId="0" xfId="0" applyFont="1" applyFill="1" applyAlignment="1">
      <alignment horizontal="center"/>
    </xf>
    <xf numFmtId="0" fontId="19" fillId="14" borderId="0" xfId="0" applyFont="1" applyFill="1"/>
    <xf numFmtId="6" fontId="0" fillId="14" borderId="0" xfId="0" applyNumberFormat="1" applyFill="1"/>
    <xf numFmtId="10" fontId="4" fillId="4" borderId="1" xfId="2" applyNumberFormat="1" applyFont="1" applyFill="1" applyBorder="1"/>
    <xf numFmtId="10" fontId="4" fillId="4" borderId="1" xfId="3" applyNumberFormat="1" applyFont="1" applyFill="1" applyBorder="1"/>
    <xf numFmtId="10" fontId="4" fillId="4" borderId="1" xfId="3" applyNumberFormat="1" applyFont="1" applyFill="1" applyBorder="1" applyAlignment="1">
      <alignment horizontal="right"/>
    </xf>
    <xf numFmtId="44" fontId="0" fillId="2" borderId="0" xfId="0" applyNumberFormat="1" applyFill="1"/>
    <xf numFmtId="169" fontId="0" fillId="2" borderId="0" xfId="0" applyNumberFormat="1" applyFill="1"/>
    <xf numFmtId="0" fontId="3" fillId="6" borderId="0" xfId="0" applyFont="1" applyFill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2" fillId="0" borderId="80" xfId="0" applyFont="1" applyBorder="1" applyAlignment="1">
      <alignment horizontal="center"/>
    </xf>
    <xf numFmtId="16" fontId="0" fillId="14" borderId="0" xfId="0" applyNumberFormat="1" applyFill="1"/>
    <xf numFmtId="164" fontId="4" fillId="4" borderId="1" xfId="3" applyNumberFormat="1" applyFont="1" applyFill="1" applyBorder="1"/>
    <xf numFmtId="164" fontId="4" fillId="4" borderId="1" xfId="2" applyNumberFormat="1" applyFont="1" applyFill="1" applyBorder="1"/>
    <xf numFmtId="10" fontId="0" fillId="4" borderId="30" xfId="0" applyNumberFormat="1" applyFill="1" applyBorder="1" applyAlignment="1" applyProtection="1">
      <alignment horizontal="center"/>
      <protection locked="0"/>
    </xf>
    <xf numFmtId="9" fontId="22" fillId="2" borderId="0" xfId="3" applyFont="1" applyFill="1" applyAlignment="1">
      <alignment horizontal="center"/>
    </xf>
    <xf numFmtId="10" fontId="0" fillId="0" borderId="25" xfId="0" applyNumberFormat="1" applyBorder="1" applyAlignment="1">
      <alignment horizontal="center"/>
    </xf>
    <xf numFmtId="9" fontId="0" fillId="0" borderId="0" xfId="3" applyFont="1"/>
    <xf numFmtId="164" fontId="0" fillId="0" borderId="0" xfId="3" applyNumberFormat="1" applyFont="1"/>
    <xf numFmtId="44" fontId="0" fillId="0" borderId="0" xfId="2" applyFont="1"/>
    <xf numFmtId="9" fontId="0" fillId="0" borderId="0" xfId="2" applyNumberFormat="1" applyFont="1"/>
    <xf numFmtId="44" fontId="0" fillId="0" borderId="0" xfId="0" applyNumberFormat="1"/>
    <xf numFmtId="0" fontId="4" fillId="4" borderId="1" xfId="2" quotePrefix="1" applyNumberFormat="1" applyFont="1" applyFill="1" applyBorder="1"/>
    <xf numFmtId="0" fontId="4" fillId="4" borderId="13" xfId="2" quotePrefix="1" applyNumberFormat="1" applyFont="1" applyFill="1" applyBorder="1"/>
    <xf numFmtId="0" fontId="10" fillId="8" borderId="9" xfId="0" applyFont="1" applyFill="1" applyBorder="1" applyAlignment="1">
      <alignment horizontal="center"/>
    </xf>
    <xf numFmtId="0" fontId="10" fillId="8" borderId="2" xfId="0" applyFont="1" applyFill="1" applyBorder="1" applyAlignment="1">
      <alignment horizontal="center"/>
    </xf>
    <xf numFmtId="0" fontId="10" fillId="8" borderId="10" xfId="0" applyFont="1" applyFill="1" applyBorder="1" applyAlignment="1">
      <alignment horizontal="center"/>
    </xf>
    <xf numFmtId="0" fontId="4" fillId="0" borderId="21" xfId="0" applyFont="1" applyBorder="1" applyAlignment="1">
      <alignment horizontal="center"/>
    </xf>
    <xf numFmtId="0" fontId="4" fillId="0" borderId="24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/>
    </xf>
    <xf numFmtId="0" fontId="4" fillId="0" borderId="29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/>
    </xf>
    <xf numFmtId="171" fontId="10" fillId="0" borderId="20" xfId="1" applyNumberFormat="1" applyFont="1" applyBorder="1" applyProtection="1">
      <protection locked="0"/>
    </xf>
    <xf numFmtId="9" fontId="10" fillId="0" borderId="46" xfId="3" applyFont="1" applyBorder="1" applyProtection="1">
      <protection locked="0"/>
    </xf>
    <xf numFmtId="9" fontId="10" fillId="0" borderId="20" xfId="3" applyFont="1" applyBorder="1" applyProtection="1">
      <protection locked="0"/>
    </xf>
    <xf numFmtId="0" fontId="0" fillId="14" borderId="0" xfId="0" applyFill="1" applyAlignment="1">
      <alignment horizontal="center"/>
    </xf>
    <xf numFmtId="0" fontId="0" fillId="4" borderId="25" xfId="0" applyFill="1" applyBorder="1" applyAlignment="1">
      <alignment horizontal="left"/>
    </xf>
    <xf numFmtId="0" fontId="0" fillId="4" borderId="1" xfId="0" applyFill="1" applyBorder="1" applyAlignment="1">
      <alignment horizontal="left"/>
    </xf>
    <xf numFmtId="0" fontId="0" fillId="4" borderId="29" xfId="0" applyFill="1" applyBorder="1" applyAlignment="1">
      <alignment horizontal="left"/>
    </xf>
    <xf numFmtId="0" fontId="0" fillId="7" borderId="25" xfId="0" applyFill="1" applyBorder="1" applyAlignment="1">
      <alignment horizontal="left"/>
    </xf>
    <xf numFmtId="0" fontId="0" fillId="7" borderId="1" xfId="0" applyFill="1" applyBorder="1" applyAlignment="1">
      <alignment horizontal="left"/>
    </xf>
    <xf numFmtId="0" fontId="0" fillId="7" borderId="29" xfId="0" applyFill="1" applyBorder="1" applyAlignment="1">
      <alignment horizontal="left"/>
    </xf>
    <xf numFmtId="0" fontId="0" fillId="7" borderId="30" xfId="0" applyFill="1" applyBorder="1" applyAlignment="1">
      <alignment horizontal="left"/>
    </xf>
    <xf numFmtId="0" fontId="0" fillId="7" borderId="16" xfId="0" applyFill="1" applyBorder="1" applyAlignment="1">
      <alignment horizontal="left"/>
    </xf>
    <xf numFmtId="0" fontId="0" fillId="7" borderId="17" xfId="0" applyFill="1" applyBorder="1" applyAlignment="1">
      <alignment horizontal="left"/>
    </xf>
    <xf numFmtId="0" fontId="26" fillId="3" borderId="0" xfId="0" applyFont="1" applyFill="1" applyAlignment="1">
      <alignment horizontal="center"/>
    </xf>
    <xf numFmtId="0" fontId="0" fillId="4" borderId="112" xfId="0" applyFill="1" applyBorder="1" applyAlignment="1">
      <alignment horizontal="left"/>
    </xf>
    <xf numFmtId="0" fontId="0" fillId="4" borderId="41" xfId="0" applyFill="1" applyBorder="1" applyAlignment="1">
      <alignment horizontal="left"/>
    </xf>
    <xf numFmtId="0" fontId="0" fillId="4" borderId="113" xfId="0" applyFill="1" applyBorder="1" applyAlignment="1">
      <alignment horizontal="left"/>
    </xf>
    <xf numFmtId="0" fontId="0" fillId="4" borderId="40" xfId="0" applyFill="1" applyBorder="1" applyAlignment="1">
      <alignment horizontal="left"/>
    </xf>
    <xf numFmtId="0" fontId="0" fillId="4" borderId="14" xfId="0" applyFill="1" applyBorder="1" applyAlignment="1">
      <alignment horizontal="left"/>
    </xf>
    <xf numFmtId="0" fontId="0" fillId="4" borderId="15" xfId="0" applyFill="1" applyBorder="1" applyAlignment="1">
      <alignment horizontal="left"/>
    </xf>
    <xf numFmtId="0" fontId="0" fillId="7" borderId="31" xfId="0" applyFill="1" applyBorder="1" applyAlignment="1">
      <alignment horizontal="left"/>
    </xf>
    <xf numFmtId="0" fontId="0" fillId="7" borderId="26" xfId="0" applyFill="1" applyBorder="1" applyAlignment="1">
      <alignment horizontal="left"/>
    </xf>
    <xf numFmtId="0" fontId="0" fillId="4" borderId="62" xfId="0" applyFill="1" applyBorder="1" applyAlignment="1">
      <alignment horizontal="left"/>
    </xf>
    <xf numFmtId="0" fontId="0" fillId="4" borderId="114" xfId="0" applyFill="1" applyBorder="1" applyAlignment="1">
      <alignment horizontal="left"/>
    </xf>
    <xf numFmtId="0" fontId="0" fillId="4" borderId="61" xfId="0" applyFill="1" applyBorder="1" applyAlignment="1">
      <alignment horizontal="left"/>
    </xf>
    <xf numFmtId="0" fontId="0" fillId="7" borderId="35" xfId="0" applyFill="1" applyBorder="1" applyAlignment="1">
      <alignment horizontal="left"/>
    </xf>
    <xf numFmtId="0" fontId="0" fillId="7" borderId="27" xfId="0" applyFill="1" applyBorder="1" applyAlignment="1">
      <alignment horizontal="left"/>
    </xf>
    <xf numFmtId="0" fontId="0" fillId="7" borderId="36" xfId="0" applyFill="1" applyBorder="1" applyAlignment="1">
      <alignment horizontal="left"/>
    </xf>
    <xf numFmtId="0" fontId="34" fillId="15" borderId="0" xfId="0" applyFont="1" applyFill="1" applyAlignment="1">
      <alignment horizontal="center"/>
    </xf>
    <xf numFmtId="0" fontId="34" fillId="4" borderId="0" xfId="0" applyFont="1" applyFill="1" applyAlignment="1">
      <alignment horizontal="center"/>
    </xf>
    <xf numFmtId="9" fontId="37" fillId="7" borderId="65" xfId="0" applyNumberFormat="1" applyFont="1" applyFill="1" applyBorder="1" applyAlignment="1">
      <alignment horizontal="center" vertical="center"/>
    </xf>
    <xf numFmtId="0" fontId="37" fillId="7" borderId="66" xfId="0" applyFont="1" applyFill="1" applyBorder="1" applyAlignment="1">
      <alignment horizontal="center" vertical="center"/>
    </xf>
    <xf numFmtId="0" fontId="37" fillId="7" borderId="67" xfId="0" applyFont="1" applyFill="1" applyBorder="1" applyAlignment="1">
      <alignment horizontal="center" vertical="center"/>
    </xf>
    <xf numFmtId="0" fontId="0" fillId="7" borderId="44" xfId="0" applyFill="1" applyBorder="1" applyAlignment="1">
      <alignment horizontal="left"/>
    </xf>
    <xf numFmtId="0" fontId="0" fillId="7" borderId="45" xfId="0" applyFill="1" applyBorder="1" applyAlignment="1">
      <alignment horizontal="left"/>
    </xf>
    <xf numFmtId="0" fontId="0" fillId="7" borderId="46" xfId="0" applyFill="1" applyBorder="1" applyAlignment="1">
      <alignment horizontal="left"/>
    </xf>
    <xf numFmtId="0" fontId="0" fillId="4" borderId="22" xfId="0" applyFill="1" applyBorder="1" applyAlignment="1">
      <alignment horizontal="left"/>
    </xf>
    <xf numFmtId="0" fontId="0" fillId="4" borderId="26" xfId="0" applyFill="1" applyBorder="1" applyAlignment="1">
      <alignment horizontal="left"/>
    </xf>
    <xf numFmtId="0" fontId="0" fillId="7" borderId="26" xfId="0" applyFill="1" applyBorder="1" applyAlignment="1">
      <alignment horizontal="center"/>
    </xf>
    <xf numFmtId="0" fontId="0" fillId="7" borderId="28" xfId="0" applyFill="1" applyBorder="1" applyAlignment="1">
      <alignment horizontal="center"/>
    </xf>
    <xf numFmtId="164" fontId="0" fillId="4" borderId="26" xfId="0" applyNumberFormat="1" applyFill="1" applyBorder="1" applyAlignment="1">
      <alignment horizontal="center"/>
    </xf>
    <xf numFmtId="164" fontId="0" fillId="4" borderId="28" xfId="0" applyNumberFormat="1" applyFill="1" applyBorder="1" applyAlignment="1">
      <alignment horizontal="center"/>
    </xf>
    <xf numFmtId="0" fontId="33" fillId="7" borderId="26" xfId="0" applyFont="1" applyFill="1" applyBorder="1" applyAlignment="1">
      <alignment horizontal="center"/>
    </xf>
    <xf numFmtId="0" fontId="33" fillId="7" borderId="28" xfId="0" applyFont="1" applyFill="1" applyBorder="1" applyAlignment="1">
      <alignment horizontal="center"/>
    </xf>
    <xf numFmtId="0" fontId="36" fillId="4" borderId="26" xfId="0" applyFont="1" applyFill="1" applyBorder="1" applyAlignment="1">
      <alignment horizontal="center"/>
    </xf>
    <xf numFmtId="0" fontId="36" fillId="4" borderId="28" xfId="0" applyFont="1" applyFill="1" applyBorder="1" applyAlignment="1">
      <alignment horizontal="center"/>
    </xf>
    <xf numFmtId="0" fontId="0" fillId="4" borderId="26" xfId="0" applyFill="1" applyBorder="1" applyAlignment="1">
      <alignment horizontal="center"/>
    </xf>
    <xf numFmtId="0" fontId="0" fillId="4" borderId="28" xfId="0" applyFill="1" applyBorder="1" applyAlignment="1">
      <alignment horizontal="center"/>
    </xf>
    <xf numFmtId="9" fontId="36" fillId="7" borderId="26" xfId="0" applyNumberFormat="1" applyFont="1" applyFill="1" applyBorder="1" applyAlignment="1">
      <alignment horizontal="center"/>
    </xf>
    <xf numFmtId="0" fontId="36" fillId="7" borderId="28" xfId="0" applyFont="1" applyFill="1" applyBorder="1" applyAlignment="1">
      <alignment horizontal="center"/>
    </xf>
    <xf numFmtId="9" fontId="0" fillId="7" borderId="26" xfId="0" applyNumberFormat="1" applyFill="1" applyBorder="1" applyAlignment="1">
      <alignment horizontal="center"/>
    </xf>
    <xf numFmtId="9" fontId="36" fillId="4" borderId="26" xfId="0" applyNumberFormat="1" applyFont="1" applyFill="1" applyBorder="1" applyAlignment="1">
      <alignment horizontal="center"/>
    </xf>
    <xf numFmtId="9" fontId="0" fillId="4" borderId="26" xfId="0" applyNumberFormat="1" applyFill="1" applyBorder="1" applyAlignment="1">
      <alignment horizontal="center"/>
    </xf>
    <xf numFmtId="0" fontId="16" fillId="3" borderId="0" xfId="0" applyFont="1" applyFill="1" applyAlignment="1">
      <alignment horizontal="center"/>
    </xf>
    <xf numFmtId="0" fontId="35" fillId="6" borderId="0" xfId="0" applyFont="1" applyFill="1" applyAlignment="1">
      <alignment horizontal="center"/>
    </xf>
    <xf numFmtId="0" fontId="2" fillId="14" borderId="115" xfId="0" applyFont="1" applyFill="1" applyBorder="1" applyAlignment="1">
      <alignment horizontal="center"/>
    </xf>
    <xf numFmtId="0" fontId="27" fillId="7" borderId="0" xfId="8" applyFill="1" applyAlignment="1">
      <alignment horizontal="center"/>
    </xf>
    <xf numFmtId="10" fontId="0" fillId="7" borderId="26" xfId="0" applyNumberFormat="1" applyFill="1" applyBorder="1" applyAlignment="1">
      <alignment horizontal="center"/>
    </xf>
    <xf numFmtId="0" fontId="0" fillId="2" borderId="0" xfId="0" applyFill="1" applyAlignment="1">
      <alignment horizontal="center"/>
    </xf>
    <xf numFmtId="0" fontId="16" fillId="3" borderId="0" xfId="0" applyFont="1" applyFill="1" applyAlignment="1">
      <alignment horizontal="center" vertical="center"/>
    </xf>
    <xf numFmtId="0" fontId="16" fillId="3" borderId="118" xfId="0" applyFont="1" applyFill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36" xfId="0" applyBorder="1" applyAlignment="1">
      <alignment horizontal="center"/>
    </xf>
    <xf numFmtId="0" fontId="0" fillId="0" borderId="40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62" xfId="0" applyBorder="1" applyAlignment="1">
      <alignment horizontal="center"/>
    </xf>
    <xf numFmtId="0" fontId="0" fillId="0" borderId="114" xfId="0" applyBorder="1" applyAlignment="1">
      <alignment horizontal="center"/>
    </xf>
    <xf numFmtId="0" fontId="0" fillId="0" borderId="61" xfId="0" applyBorder="1" applyAlignment="1">
      <alignment horizontal="center"/>
    </xf>
    <xf numFmtId="0" fontId="3" fillId="6" borderId="0" xfId="0" applyFont="1" applyFill="1" applyAlignment="1">
      <alignment horizontal="center"/>
    </xf>
    <xf numFmtId="0" fontId="0" fillId="0" borderId="35" xfId="0" applyBorder="1" applyAlignment="1">
      <alignment horizontal="center"/>
    </xf>
    <xf numFmtId="0" fontId="0" fillId="0" borderId="28" xfId="0" applyBorder="1" applyAlignment="1">
      <alignment horizontal="center"/>
    </xf>
    <xf numFmtId="0" fontId="0" fillId="4" borderId="53" xfId="0" applyFill="1" applyBorder="1" applyAlignment="1" applyProtection="1">
      <alignment horizontal="center"/>
      <protection locked="0"/>
    </xf>
    <xf numFmtId="0" fontId="0" fillId="4" borderId="33" xfId="0" applyFill="1" applyBorder="1" applyAlignment="1" applyProtection="1">
      <alignment horizontal="center"/>
      <protection locked="0"/>
    </xf>
    <xf numFmtId="0" fontId="0" fillId="4" borderId="31" xfId="0" applyFill="1" applyBorder="1" applyAlignment="1" applyProtection="1">
      <alignment horizontal="center"/>
      <protection locked="0"/>
    </xf>
    <xf numFmtId="0" fontId="0" fillId="4" borderId="52" xfId="0" applyFill="1" applyBorder="1" applyAlignment="1" applyProtection="1">
      <alignment horizontal="center"/>
      <protection locked="0"/>
    </xf>
    <xf numFmtId="0" fontId="0" fillId="2" borderId="39" xfId="0" applyFill="1" applyBorder="1" applyAlignment="1">
      <alignment horizontal="center"/>
    </xf>
    <xf numFmtId="0" fontId="16" fillId="3" borderId="2" xfId="0" applyFont="1" applyFill="1" applyBorder="1" applyAlignment="1">
      <alignment horizontal="center"/>
    </xf>
    <xf numFmtId="0" fontId="22" fillId="2" borderId="0" xfId="0" applyFont="1" applyFill="1" applyAlignment="1">
      <alignment horizontal="center"/>
    </xf>
    <xf numFmtId="0" fontId="3" fillId="3" borderId="0" xfId="0" applyFont="1" applyFill="1" applyAlignment="1">
      <alignment horizontal="left"/>
    </xf>
    <xf numFmtId="0" fontId="2" fillId="2" borderId="0" xfId="0" applyFont="1" applyFill="1" applyAlignment="1">
      <alignment horizontal="center"/>
    </xf>
    <xf numFmtId="8" fontId="13" fillId="2" borderId="0" xfId="0" applyNumberFormat="1" applyFont="1" applyFill="1" applyAlignment="1">
      <alignment horizontal="center"/>
    </xf>
    <xf numFmtId="0" fontId="13" fillId="2" borderId="0" xfId="0" applyFont="1" applyFill="1" applyAlignment="1">
      <alignment horizontal="center"/>
    </xf>
    <xf numFmtId="0" fontId="2" fillId="2" borderId="41" xfId="0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0" fontId="2" fillId="2" borderId="0" xfId="0" applyFont="1" applyFill="1" applyAlignment="1">
      <alignment horizontal="center" vertical="center"/>
    </xf>
    <xf numFmtId="0" fontId="11" fillId="8" borderId="3" xfId="0" applyFont="1" applyFill="1" applyBorder="1" applyAlignment="1">
      <alignment horizontal="center"/>
    </xf>
    <xf numFmtId="0" fontId="11" fillId="8" borderId="50" xfId="0" applyFont="1" applyFill="1" applyBorder="1" applyAlignment="1">
      <alignment horizontal="center"/>
    </xf>
    <xf numFmtId="0" fontId="11" fillId="8" borderId="4" xfId="0" applyFont="1" applyFill="1" applyBorder="1" applyAlignment="1">
      <alignment horizontal="center"/>
    </xf>
    <xf numFmtId="0" fontId="0" fillId="5" borderId="26" xfId="0" applyFill="1" applyBorder="1" applyAlignment="1">
      <alignment horizontal="center"/>
    </xf>
    <xf numFmtId="0" fontId="0" fillId="5" borderId="27" xfId="0" applyFill="1" applyBorder="1" applyAlignment="1">
      <alignment horizontal="center"/>
    </xf>
    <xf numFmtId="0" fontId="0" fillId="5" borderId="28" xfId="0" applyFill="1" applyBorder="1" applyAlignment="1">
      <alignment horizontal="center"/>
    </xf>
    <xf numFmtId="0" fontId="0" fillId="0" borderId="27" xfId="0" applyBorder="1" applyAlignment="1">
      <alignment horizontal="center"/>
    </xf>
    <xf numFmtId="0" fontId="0" fillId="5" borderId="1" xfId="0" applyFill="1" applyBorder="1" applyAlignment="1">
      <alignment horizontal="center"/>
    </xf>
    <xf numFmtId="9" fontId="2" fillId="2" borderId="34" xfId="3" applyFont="1" applyFill="1" applyBorder="1" applyAlignment="1">
      <alignment horizontal="center"/>
    </xf>
    <xf numFmtId="9" fontId="2" fillId="2" borderId="8" xfId="3" applyFont="1" applyFill="1" applyBorder="1" applyAlignment="1">
      <alignment horizontal="center"/>
    </xf>
    <xf numFmtId="0" fontId="2" fillId="4" borderId="0" xfId="0" applyFont="1" applyFill="1" applyAlignment="1">
      <alignment horizontal="center"/>
    </xf>
    <xf numFmtId="0" fontId="4" fillId="0" borderId="37" xfId="0" applyFont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46" xfId="0" applyFont="1" applyBorder="1" applyAlignment="1">
      <alignment horizontal="center"/>
    </xf>
    <xf numFmtId="10" fontId="2" fillId="5" borderId="11" xfId="3" applyNumberFormat="1" applyFont="1" applyFill="1" applyBorder="1" applyAlignment="1">
      <alignment horizontal="center"/>
    </xf>
    <xf numFmtId="10" fontId="2" fillId="5" borderId="34" xfId="3" applyNumberFormat="1" applyFont="1" applyFill="1" applyBorder="1" applyAlignment="1">
      <alignment horizontal="center"/>
    </xf>
    <xf numFmtId="10" fontId="2" fillId="5" borderId="8" xfId="3" applyNumberFormat="1" applyFont="1" applyFill="1" applyBorder="1" applyAlignment="1">
      <alignment horizontal="center"/>
    </xf>
    <xf numFmtId="10" fontId="0" fillId="0" borderId="13" xfId="3" applyNumberFormat="1" applyFont="1" applyBorder="1" applyAlignment="1">
      <alignment horizontal="center"/>
    </xf>
    <xf numFmtId="10" fontId="0" fillId="0" borderId="24" xfId="3" applyNumberFormat="1" applyFont="1" applyBorder="1" applyAlignment="1">
      <alignment horizontal="center"/>
    </xf>
    <xf numFmtId="10" fontId="0" fillId="0" borderId="62" xfId="3" applyNumberFormat="1" applyFont="1" applyBorder="1" applyAlignment="1">
      <alignment horizontal="center"/>
    </xf>
    <xf numFmtId="10" fontId="0" fillId="0" borderId="23" xfId="3" applyNumberFormat="1" applyFont="1" applyBorder="1" applyAlignment="1">
      <alignment horizontal="center"/>
    </xf>
    <xf numFmtId="10" fontId="0" fillId="0" borderId="22" xfId="3" applyNumberFormat="1" applyFont="1" applyBorder="1" applyAlignment="1">
      <alignment horizontal="center"/>
    </xf>
    <xf numFmtId="10" fontId="0" fillId="0" borderId="61" xfId="3" applyNumberFormat="1" applyFont="1" applyBorder="1" applyAlignment="1">
      <alignment horizontal="center"/>
    </xf>
    <xf numFmtId="10" fontId="2" fillId="5" borderId="38" xfId="3" applyNumberFormat="1" applyFont="1" applyFill="1" applyBorder="1" applyAlignment="1">
      <alignment horizontal="center"/>
    </xf>
    <xf numFmtId="10" fontId="0" fillId="0" borderId="31" xfId="3" applyNumberFormat="1" applyFont="1" applyBorder="1" applyAlignment="1">
      <alignment horizontal="center"/>
    </xf>
    <xf numFmtId="10" fontId="0" fillId="0" borderId="33" xfId="3" applyNumberFormat="1" applyFont="1" applyBorder="1" applyAlignment="1">
      <alignment horizontal="center"/>
    </xf>
    <xf numFmtId="10" fontId="0" fillId="0" borderId="52" xfId="3" applyNumberFormat="1" applyFont="1" applyBorder="1" applyAlignment="1">
      <alignment horizontal="center"/>
    </xf>
    <xf numFmtId="10" fontId="0" fillId="0" borderId="37" xfId="3" applyNumberFormat="1" applyFont="1" applyBorder="1" applyAlignment="1">
      <alignment horizontal="center"/>
    </xf>
    <xf numFmtId="10" fontId="0" fillId="0" borderId="43" xfId="3" applyNumberFormat="1" applyFont="1" applyBorder="1" applyAlignment="1">
      <alignment horizontal="center"/>
    </xf>
    <xf numFmtId="10" fontId="0" fillId="0" borderId="53" xfId="3" applyNumberFormat="1" applyFont="1" applyBorder="1" applyAlignment="1">
      <alignment horizontal="center"/>
    </xf>
    <xf numFmtId="10" fontId="0" fillId="0" borderId="22" xfId="0" applyNumberFormat="1" applyBorder="1" applyAlignment="1">
      <alignment horizontal="center"/>
    </xf>
    <xf numFmtId="10" fontId="0" fillId="0" borderId="23" xfId="0" applyNumberFormat="1" applyBorder="1" applyAlignment="1">
      <alignment horizontal="center"/>
    </xf>
    <xf numFmtId="10" fontId="0" fillId="0" borderId="61" xfId="0" applyNumberFormat="1" applyBorder="1" applyAlignment="1">
      <alignment horizontal="center"/>
    </xf>
    <xf numFmtId="10" fontId="0" fillId="0" borderId="13" xfId="0" applyNumberFormat="1" applyBorder="1" applyAlignment="1">
      <alignment horizontal="center"/>
    </xf>
    <xf numFmtId="10" fontId="0" fillId="0" borderId="24" xfId="0" applyNumberFormat="1" applyBorder="1" applyAlignment="1">
      <alignment horizontal="center"/>
    </xf>
    <xf numFmtId="9" fontId="0" fillId="0" borderId="31" xfId="3" applyFont="1" applyBorder="1" applyAlignment="1">
      <alignment horizontal="center"/>
    </xf>
    <xf numFmtId="9" fontId="0" fillId="0" borderId="33" xfId="3" applyFont="1" applyBorder="1" applyAlignment="1">
      <alignment horizontal="center"/>
    </xf>
    <xf numFmtId="9" fontId="0" fillId="0" borderId="52" xfId="3" applyFont="1" applyBorder="1" applyAlignment="1">
      <alignment horizontal="center"/>
    </xf>
    <xf numFmtId="9" fontId="0" fillId="0" borderId="37" xfId="3" applyFont="1" applyBorder="1" applyAlignment="1">
      <alignment horizontal="center"/>
    </xf>
    <xf numFmtId="9" fontId="0" fillId="0" borderId="43" xfId="3" applyFont="1" applyBorder="1" applyAlignment="1">
      <alignment horizontal="center"/>
    </xf>
    <xf numFmtId="9" fontId="0" fillId="0" borderId="53" xfId="3" applyFont="1" applyBorder="1" applyAlignment="1">
      <alignment horizontal="center"/>
    </xf>
    <xf numFmtId="10" fontId="2" fillId="5" borderId="38" xfId="0" applyNumberFormat="1" applyFont="1" applyFill="1" applyBorder="1" applyAlignment="1">
      <alignment horizontal="center"/>
    </xf>
    <xf numFmtId="0" fontId="2" fillId="5" borderId="38" xfId="0" applyFont="1" applyFill="1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24" xfId="0" applyBorder="1" applyAlignment="1">
      <alignment horizontal="center"/>
    </xf>
    <xf numFmtId="10" fontId="0" fillId="0" borderId="62" xfId="0" applyNumberFormat="1" applyBorder="1" applyAlignment="1">
      <alignment horizontal="center"/>
    </xf>
    <xf numFmtId="10" fontId="2" fillId="5" borderId="34" xfId="0" applyNumberFormat="1" applyFont="1" applyFill="1" applyBorder="1" applyAlignment="1">
      <alignment horizontal="center"/>
    </xf>
    <xf numFmtId="10" fontId="2" fillId="5" borderId="8" xfId="0" applyNumberFormat="1" applyFont="1" applyFill="1" applyBorder="1" applyAlignment="1">
      <alignment horizontal="center"/>
    </xf>
    <xf numFmtId="0" fontId="2" fillId="5" borderId="34" xfId="0" applyFont="1" applyFill="1" applyBorder="1" applyAlignment="1">
      <alignment horizontal="center"/>
    </xf>
    <xf numFmtId="0" fontId="2" fillId="5" borderId="8" xfId="0" applyFont="1" applyFill="1" applyBorder="1" applyAlignment="1">
      <alignment horizontal="center"/>
    </xf>
    <xf numFmtId="0" fontId="0" fillId="0" borderId="23" xfId="0" applyBorder="1" applyAlignment="1">
      <alignment horizontal="center"/>
    </xf>
    <xf numFmtId="0" fontId="0" fillId="0" borderId="59" xfId="0" applyBorder="1" applyAlignment="1">
      <alignment horizontal="center"/>
    </xf>
    <xf numFmtId="0" fontId="0" fillId="0" borderId="60" xfId="0" applyBorder="1" applyAlignment="1">
      <alignment horizontal="center"/>
    </xf>
    <xf numFmtId="164" fontId="2" fillId="5" borderId="38" xfId="0" applyNumberFormat="1" applyFont="1" applyFill="1" applyBorder="1" applyAlignment="1">
      <alignment horizontal="center"/>
    </xf>
    <xf numFmtId="9" fontId="2" fillId="5" borderId="38" xfId="0" applyNumberFormat="1" applyFont="1" applyFill="1" applyBorder="1" applyAlignment="1">
      <alignment horizontal="center"/>
    </xf>
    <xf numFmtId="9" fontId="0" fillId="0" borderId="116" xfId="3" applyFont="1" applyBorder="1" applyAlignment="1">
      <alignment horizontal="center"/>
    </xf>
    <xf numFmtId="9" fontId="0" fillId="0" borderId="117" xfId="3" applyFont="1" applyBorder="1" applyAlignment="1">
      <alignment horizontal="center"/>
    </xf>
    <xf numFmtId="9" fontId="0" fillId="0" borderId="16" xfId="3" applyFont="1" applyBorder="1" applyAlignment="1">
      <alignment horizontal="center"/>
    </xf>
    <xf numFmtId="9" fontId="0" fillId="0" borderId="17" xfId="3" applyFont="1" applyBorder="1" applyAlignment="1">
      <alignment horizontal="center"/>
    </xf>
    <xf numFmtId="0" fontId="2" fillId="4" borderId="4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8" fillId="0" borderId="1" xfId="0" applyFont="1" applyBorder="1" applyAlignment="1">
      <alignment horizontal="center" wrapText="1"/>
    </xf>
    <xf numFmtId="0" fontId="0" fillId="0" borderId="1" xfId="0" applyBorder="1" applyAlignment="1">
      <alignment horizontal="center" wrapText="1"/>
    </xf>
    <xf numFmtId="0" fontId="2" fillId="0" borderId="1" xfId="0" applyFont="1" applyBorder="1" applyAlignment="1">
      <alignment horizontal="center"/>
    </xf>
    <xf numFmtId="0" fontId="8" fillId="0" borderId="1" xfId="0" applyFont="1" applyBorder="1" applyAlignment="1">
      <alignment horizontal="left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8" xfId="0" applyBorder="1" applyAlignment="1">
      <alignment horizontal="center" wrapText="1"/>
    </xf>
    <xf numFmtId="0" fontId="4" fillId="0" borderId="26" xfId="0" applyFont="1" applyBorder="1" applyAlignment="1">
      <alignment horizontal="center" wrapText="1"/>
    </xf>
    <xf numFmtId="0" fontId="4" fillId="0" borderId="27" xfId="0" applyFont="1" applyBorder="1" applyAlignment="1">
      <alignment horizontal="center" wrapText="1"/>
    </xf>
    <xf numFmtId="0" fontId="4" fillId="0" borderId="28" xfId="0" applyFont="1" applyBorder="1" applyAlignment="1">
      <alignment horizontal="center" wrapText="1"/>
    </xf>
    <xf numFmtId="0" fontId="4" fillId="0" borderId="1" xfId="0" applyFont="1" applyBorder="1" applyAlignment="1">
      <alignment horizontal="center" wrapText="1"/>
    </xf>
    <xf numFmtId="0" fontId="4" fillId="0" borderId="16" xfId="0" applyFont="1" applyBorder="1" applyAlignment="1">
      <alignment horizontal="left" vertical="center" wrapText="1"/>
    </xf>
    <xf numFmtId="0" fontId="0" fillId="0" borderId="31" xfId="0" applyBorder="1" applyAlignment="1">
      <alignment horizontal="center" wrapText="1"/>
    </xf>
    <xf numFmtId="0" fontId="0" fillId="0" borderId="32" xfId="0" applyBorder="1" applyAlignment="1">
      <alignment horizontal="center" wrapText="1"/>
    </xf>
    <xf numFmtId="0" fontId="0" fillId="0" borderId="33" xfId="0" applyBorder="1" applyAlignment="1">
      <alignment horizontal="center" wrapText="1"/>
    </xf>
    <xf numFmtId="0" fontId="0" fillId="0" borderId="16" xfId="0" applyBorder="1" applyAlignment="1">
      <alignment horizontal="center" wrapText="1"/>
    </xf>
    <xf numFmtId="0" fontId="2" fillId="0" borderId="16" xfId="0" applyFont="1" applyBorder="1" applyAlignment="1">
      <alignment horizontal="center"/>
    </xf>
    <xf numFmtId="0" fontId="0" fillId="0" borderId="13" xfId="0" applyBorder="1" applyAlignment="1">
      <alignment horizontal="center" wrapText="1"/>
    </xf>
    <xf numFmtId="0" fontId="2" fillId="0" borderId="13" xfId="0" applyFont="1" applyBorder="1" applyAlignment="1">
      <alignment horizontal="center"/>
    </xf>
    <xf numFmtId="0" fontId="4" fillId="0" borderId="1" xfId="0" applyFont="1" applyBorder="1" applyAlignment="1">
      <alignment horizontal="left" vertical="center" wrapText="1"/>
    </xf>
    <xf numFmtId="0" fontId="2" fillId="0" borderId="1" xfId="0" applyFont="1" applyBorder="1" applyAlignment="1">
      <alignment horizontal="center" wrapText="1"/>
    </xf>
    <xf numFmtId="0" fontId="4" fillId="0" borderId="7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0" fillId="2" borderId="12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4" fillId="0" borderId="34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4" fillId="0" borderId="26" xfId="0" applyFont="1" applyBorder="1" applyAlignment="1" applyProtection="1">
      <alignment horizontal="center"/>
      <protection locked="0"/>
    </xf>
    <xf numFmtId="0" fontId="4" fillId="0" borderId="27" xfId="0" applyFont="1" applyBorder="1" applyAlignment="1" applyProtection="1">
      <alignment horizontal="center"/>
      <protection locked="0"/>
    </xf>
    <xf numFmtId="0" fontId="4" fillId="0" borderId="28" xfId="0" applyFont="1" applyBorder="1" applyAlignment="1" applyProtection="1">
      <alignment horizontal="center"/>
      <protection locked="0"/>
    </xf>
    <xf numFmtId="0" fontId="4" fillId="0" borderId="31" xfId="0" applyFont="1" applyBorder="1" applyAlignment="1" applyProtection="1">
      <alignment horizontal="center"/>
      <protection locked="0"/>
    </xf>
    <xf numFmtId="0" fontId="4" fillId="0" borderId="32" xfId="0" applyFont="1" applyBorder="1" applyAlignment="1" applyProtection="1">
      <alignment horizontal="center"/>
      <protection locked="0"/>
    </xf>
    <xf numFmtId="0" fontId="4" fillId="0" borderId="33" xfId="0" applyFont="1" applyBorder="1" applyAlignment="1" applyProtection="1">
      <alignment horizontal="center"/>
      <protection locked="0"/>
    </xf>
    <xf numFmtId="0" fontId="4" fillId="0" borderId="108" xfId="0" applyFont="1" applyBorder="1" applyAlignment="1">
      <alignment horizontal="center" wrapText="1"/>
    </xf>
    <xf numFmtId="0" fontId="4" fillId="0" borderId="109" xfId="0" applyFont="1" applyBorder="1" applyAlignment="1">
      <alignment horizontal="center" wrapText="1"/>
    </xf>
    <xf numFmtId="0" fontId="4" fillId="0" borderId="110" xfId="0" applyFont="1" applyBorder="1" applyAlignment="1">
      <alignment horizontal="center" wrapText="1"/>
    </xf>
    <xf numFmtId="0" fontId="4" fillId="0" borderId="111" xfId="0" applyFont="1" applyBorder="1" applyAlignment="1">
      <alignment horizontal="center" wrapText="1"/>
    </xf>
    <xf numFmtId="0" fontId="4" fillId="0" borderId="106" xfId="0" applyFont="1" applyBorder="1" applyAlignment="1">
      <alignment horizontal="center" wrapText="1"/>
    </xf>
    <xf numFmtId="0" fontId="4" fillId="0" borderId="107" xfId="0" applyFont="1" applyBorder="1" applyAlignment="1">
      <alignment horizontal="center" wrapText="1"/>
    </xf>
    <xf numFmtId="0" fontId="2" fillId="4" borderId="3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4" fillId="0" borderId="18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0" fillId="0" borderId="26" xfId="0" applyBorder="1" applyAlignment="1" applyProtection="1">
      <alignment horizontal="center" vertical="center" wrapText="1"/>
      <protection locked="0"/>
    </xf>
    <xf numFmtId="0" fontId="0" fillId="0" borderId="28" xfId="0" applyBorder="1" applyAlignment="1" applyProtection="1">
      <alignment horizontal="center" vertical="center" wrapText="1"/>
      <protection locked="0"/>
    </xf>
    <xf numFmtId="0" fontId="0" fillId="0" borderId="26" xfId="0" applyBorder="1" applyAlignment="1" applyProtection="1">
      <alignment horizontal="center" vertical="center"/>
      <protection locked="0"/>
    </xf>
    <xf numFmtId="0" fontId="0" fillId="0" borderId="36" xfId="0" applyBorder="1" applyAlignment="1" applyProtection="1">
      <alignment horizontal="center" vertical="center"/>
      <protection locked="0"/>
    </xf>
    <xf numFmtId="0" fontId="0" fillId="0" borderId="35" xfId="0" applyBorder="1" applyAlignment="1" applyProtection="1">
      <alignment horizontal="center" vertical="center"/>
      <protection locked="0"/>
    </xf>
    <xf numFmtId="0" fontId="0" fillId="0" borderId="28" xfId="0" applyBorder="1" applyAlignment="1" applyProtection="1">
      <alignment horizontal="center" vertical="center"/>
      <protection locked="0"/>
    </xf>
    <xf numFmtId="0" fontId="0" fillId="0" borderId="13" xfId="0" applyBorder="1" applyAlignment="1" applyProtection="1">
      <alignment horizontal="center" vertical="center" wrapText="1"/>
      <protection locked="0"/>
    </xf>
    <xf numFmtId="0" fontId="0" fillId="0" borderId="13" xfId="0" applyBorder="1" applyAlignment="1" applyProtection="1">
      <alignment horizontal="center" vertical="center"/>
      <protection locked="0"/>
    </xf>
    <xf numFmtId="0" fontId="0" fillId="0" borderId="24" xfId="0" applyBorder="1" applyAlignment="1" applyProtection="1">
      <alignment horizontal="center" vertical="center"/>
      <protection locked="0"/>
    </xf>
    <xf numFmtId="0" fontId="0" fillId="0" borderId="21" xfId="0" applyBorder="1" applyAlignment="1" applyProtection="1">
      <alignment horizontal="center" vertical="center"/>
      <protection locked="0"/>
    </xf>
    <xf numFmtId="0" fontId="0" fillId="0" borderId="1" xfId="0" applyBorder="1" applyAlignment="1" applyProtection="1">
      <alignment horizontal="center" vertical="center" wrapText="1"/>
      <protection locked="0"/>
    </xf>
    <xf numFmtId="0" fontId="0" fillId="0" borderId="1" xfId="0" applyBorder="1" applyAlignment="1" applyProtection="1">
      <alignment horizontal="center" vertical="center"/>
      <protection locked="0"/>
    </xf>
    <xf numFmtId="0" fontId="0" fillId="0" borderId="29" xfId="0" applyBorder="1" applyAlignment="1" applyProtection="1">
      <alignment horizontal="center" vertical="center"/>
      <protection locked="0"/>
    </xf>
    <xf numFmtId="0" fontId="0" fillId="0" borderId="25" xfId="0" applyBorder="1" applyAlignment="1" applyProtection="1">
      <alignment horizontal="center" vertical="center"/>
      <protection locked="0"/>
    </xf>
    <xf numFmtId="0" fontId="0" fillId="0" borderId="111" xfId="0" applyBorder="1" applyAlignment="1">
      <alignment wrapText="1"/>
    </xf>
    <xf numFmtId="0" fontId="0" fillId="0" borderId="106" xfId="0" applyBorder="1" applyAlignment="1">
      <alignment wrapText="1"/>
    </xf>
    <xf numFmtId="0" fontId="0" fillId="0" borderId="107" xfId="0" applyBorder="1" applyAlignment="1">
      <alignment wrapText="1"/>
    </xf>
    <xf numFmtId="0" fontId="0" fillId="0" borderId="31" xfId="0" applyBorder="1" applyAlignment="1" applyProtection="1">
      <alignment horizontal="center" vertical="center"/>
      <protection locked="0"/>
    </xf>
    <xf numFmtId="0" fontId="0" fillId="0" borderId="52" xfId="0" applyBorder="1" applyAlignment="1" applyProtection="1">
      <alignment horizontal="center" vertical="center"/>
      <protection locked="0"/>
    </xf>
    <xf numFmtId="0" fontId="0" fillId="0" borderId="53" xfId="0" applyBorder="1" applyAlignment="1" applyProtection="1">
      <alignment horizontal="center" vertical="center"/>
      <protection locked="0"/>
    </xf>
    <xf numFmtId="0" fontId="0" fillId="0" borderId="33" xfId="0" applyBorder="1" applyAlignment="1" applyProtection="1">
      <alignment horizontal="center" vertical="center"/>
      <protection locked="0"/>
    </xf>
    <xf numFmtId="0" fontId="0" fillId="0" borderId="16" xfId="0" applyBorder="1" applyAlignment="1" applyProtection="1">
      <alignment horizontal="center" vertical="center" wrapText="1"/>
      <protection locked="0"/>
    </xf>
    <xf numFmtId="0" fontId="0" fillId="0" borderId="16" xfId="0" applyBorder="1" applyAlignment="1" applyProtection="1">
      <alignment horizontal="center" vertical="center"/>
      <protection locked="0"/>
    </xf>
    <xf numFmtId="0" fontId="0" fillId="0" borderId="17" xfId="0" applyBorder="1" applyAlignment="1" applyProtection="1">
      <alignment horizontal="center" vertical="center"/>
      <protection locked="0"/>
    </xf>
    <xf numFmtId="0" fontId="0" fillId="0" borderId="30" xfId="0" applyBorder="1" applyAlignment="1" applyProtection="1">
      <alignment horizontal="center" vertical="center"/>
      <protection locked="0"/>
    </xf>
    <xf numFmtId="0" fontId="0" fillId="0" borderId="22" xfId="0" applyBorder="1" applyAlignment="1" applyProtection="1">
      <alignment horizontal="center" vertical="center"/>
      <protection locked="0"/>
    </xf>
    <xf numFmtId="0" fontId="0" fillId="0" borderId="61" xfId="0" applyBorder="1" applyAlignment="1" applyProtection="1">
      <alignment horizontal="center" vertical="center"/>
      <protection locked="0"/>
    </xf>
    <xf numFmtId="0" fontId="0" fillId="0" borderId="62" xfId="0" applyBorder="1" applyAlignment="1" applyProtection="1">
      <alignment horizontal="center" vertical="center"/>
      <protection locked="0"/>
    </xf>
    <xf numFmtId="0" fontId="0" fillId="0" borderId="23" xfId="0" applyBorder="1" applyAlignment="1" applyProtection="1">
      <alignment horizontal="center" vertical="center"/>
      <protection locked="0"/>
    </xf>
    <xf numFmtId="0" fontId="2" fillId="0" borderId="11" xfId="0" applyFont="1" applyBorder="1" applyAlignment="1">
      <alignment horizontal="center" vertical="center"/>
    </xf>
    <xf numFmtId="0" fontId="2" fillId="0" borderId="63" xfId="0" applyFont="1" applyBorder="1" applyAlignment="1">
      <alignment horizontal="center" vertical="center"/>
    </xf>
    <xf numFmtId="0" fontId="28" fillId="0" borderId="18" xfId="0" applyFont="1" applyBorder="1" applyAlignment="1">
      <alignment horizontal="center"/>
    </xf>
    <xf numFmtId="0" fontId="28" fillId="0" borderId="19" xfId="0" applyFont="1" applyBorder="1" applyAlignment="1">
      <alignment horizontal="center"/>
    </xf>
    <xf numFmtId="0" fontId="0" fillId="12" borderId="18" xfId="0" applyFill="1" applyBorder="1" applyAlignment="1">
      <alignment horizontal="center"/>
    </xf>
    <xf numFmtId="0" fontId="0" fillId="12" borderId="19" xfId="0" applyFill="1" applyBorder="1" applyAlignment="1">
      <alignment horizontal="center"/>
    </xf>
    <xf numFmtId="0" fontId="0" fillId="12" borderId="7" xfId="0" applyFill="1" applyBorder="1" applyAlignment="1">
      <alignment horizontal="center"/>
    </xf>
    <xf numFmtId="0" fontId="0" fillId="12" borderId="20" xfId="0" applyFill="1" applyBorder="1" applyAlignment="1">
      <alignment horizontal="center"/>
    </xf>
    <xf numFmtId="0" fontId="0" fillId="12" borderId="34" xfId="0" applyFill="1" applyBorder="1" applyAlignment="1">
      <alignment horizontal="center"/>
    </xf>
    <xf numFmtId="0" fontId="0" fillId="12" borderId="5" xfId="0" applyFill="1" applyBorder="1" applyAlignment="1">
      <alignment horizontal="center"/>
    </xf>
    <xf numFmtId="0" fontId="0" fillId="12" borderId="8" xfId="0" applyFill="1" applyBorder="1" applyAlignment="1">
      <alignment horizontal="center"/>
    </xf>
    <xf numFmtId="0" fontId="28" fillId="13" borderId="9" xfId="0" applyFont="1" applyFill="1" applyBorder="1" applyAlignment="1">
      <alignment horizontal="center"/>
    </xf>
    <xf numFmtId="0" fontId="28" fillId="13" borderId="2" xfId="0" applyFont="1" applyFill="1" applyBorder="1" applyAlignment="1">
      <alignment horizontal="center"/>
    </xf>
    <xf numFmtId="0" fontId="28" fillId="13" borderId="10" xfId="0" applyFont="1" applyFill="1" applyBorder="1" applyAlignment="1">
      <alignment horizontal="center"/>
    </xf>
    <xf numFmtId="10" fontId="28" fillId="13" borderId="9" xfId="0" applyNumberFormat="1" applyFont="1" applyFill="1" applyBorder="1" applyAlignment="1">
      <alignment horizontal="center"/>
    </xf>
    <xf numFmtId="0" fontId="28" fillId="13" borderId="101" xfId="0" applyFont="1" applyFill="1" applyBorder="1" applyAlignment="1">
      <alignment horizontal="center"/>
    </xf>
    <xf numFmtId="0" fontId="30" fillId="11" borderId="93" xfId="0" applyFont="1" applyFill="1" applyBorder="1" applyAlignment="1">
      <alignment horizontal="center" vertical="center"/>
    </xf>
    <xf numFmtId="0" fontId="30" fillId="11" borderId="94" xfId="0" applyFont="1" applyFill="1" applyBorder="1" applyAlignment="1">
      <alignment horizontal="center" vertical="center"/>
    </xf>
    <xf numFmtId="0" fontId="30" fillId="11" borderId="95" xfId="0" applyFont="1" applyFill="1" applyBorder="1" applyAlignment="1">
      <alignment horizontal="center" vertical="center"/>
    </xf>
    <xf numFmtId="0" fontId="29" fillId="11" borderId="3" xfId="0" applyFont="1" applyFill="1" applyBorder="1" applyAlignment="1">
      <alignment horizontal="center"/>
    </xf>
    <xf numFmtId="0" fontId="29" fillId="11" borderId="50" xfId="0" applyFont="1" applyFill="1" applyBorder="1" applyAlignment="1">
      <alignment horizontal="center"/>
    </xf>
    <xf numFmtId="0" fontId="29" fillId="11" borderId="4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8" xfId="0" applyFont="1" applyFill="1" applyBorder="1" applyAlignment="1">
      <alignment horizontal="center" vertical="center"/>
    </xf>
    <xf numFmtId="0" fontId="2" fillId="0" borderId="64" xfId="0" applyFont="1" applyBorder="1" applyAlignment="1">
      <alignment horizontal="center" vertical="center"/>
    </xf>
    <xf numFmtId="1" fontId="0" fillId="14" borderId="26" xfId="1" applyNumberFormat="1" applyFont="1" applyFill="1" applyBorder="1" applyAlignment="1" applyProtection="1">
      <alignment horizontal="center" vertical="center"/>
    </xf>
    <xf numFmtId="1" fontId="0" fillId="14" borderId="28" xfId="1" applyNumberFormat="1" applyFont="1" applyFill="1" applyBorder="1" applyAlignment="1" applyProtection="1">
      <alignment horizontal="center" vertical="center"/>
    </xf>
    <xf numFmtId="9" fontId="0" fillId="7" borderId="26" xfId="3" applyFont="1" applyFill="1" applyBorder="1" applyAlignment="1" applyProtection="1">
      <alignment horizontal="center"/>
    </xf>
    <xf numFmtId="9" fontId="0" fillId="7" borderId="27" xfId="3" applyFont="1" applyFill="1" applyBorder="1" applyAlignment="1" applyProtection="1">
      <alignment horizontal="center"/>
    </xf>
    <xf numFmtId="9" fontId="0" fillId="7" borderId="36" xfId="3" applyFont="1" applyFill="1" applyBorder="1" applyAlignment="1" applyProtection="1">
      <alignment horizontal="center"/>
    </xf>
    <xf numFmtId="9" fontId="0" fillId="14" borderId="31" xfId="3" applyFont="1" applyFill="1" applyBorder="1" applyAlignment="1" applyProtection="1">
      <alignment horizontal="center"/>
    </xf>
    <xf numFmtId="9" fontId="0" fillId="14" borderId="32" xfId="3" applyFont="1" applyFill="1" applyBorder="1" applyAlignment="1" applyProtection="1">
      <alignment horizontal="center"/>
    </xf>
    <xf numFmtId="9" fontId="0" fillId="14" borderId="52" xfId="3" applyFont="1" applyFill="1" applyBorder="1" applyAlignment="1" applyProtection="1">
      <alignment horizontal="center"/>
    </xf>
    <xf numFmtId="0" fontId="0" fillId="0" borderId="44" xfId="0" applyBorder="1" applyAlignment="1">
      <alignment horizontal="center" vertical="center"/>
    </xf>
    <xf numFmtId="0" fontId="0" fillId="0" borderId="72" xfId="0" applyBorder="1" applyAlignment="1">
      <alignment horizontal="center" vertical="center"/>
    </xf>
    <xf numFmtId="9" fontId="0" fillId="14" borderId="16" xfId="3" applyFont="1" applyFill="1" applyBorder="1" applyAlignment="1" applyProtection="1">
      <alignment horizontal="center"/>
    </xf>
    <xf numFmtId="9" fontId="0" fillId="14" borderId="17" xfId="3" applyFont="1" applyFill="1" applyBorder="1" applyAlignment="1" applyProtection="1">
      <alignment horizontal="center"/>
    </xf>
    <xf numFmtId="9" fontId="0" fillId="7" borderId="1" xfId="3" applyFont="1" applyFill="1" applyBorder="1" applyAlignment="1" applyProtection="1">
      <alignment horizontal="center"/>
    </xf>
    <xf numFmtId="9" fontId="0" fillId="7" borderId="29" xfId="3" applyFont="1" applyFill="1" applyBorder="1" applyAlignment="1" applyProtection="1">
      <alignment horizontal="center"/>
    </xf>
    <xf numFmtId="0" fontId="26" fillId="17" borderId="69" xfId="0" applyFont="1" applyFill="1" applyBorder="1" applyAlignment="1">
      <alignment horizontal="center"/>
    </xf>
    <xf numFmtId="0" fontId="26" fillId="17" borderId="70" xfId="0" applyFont="1" applyFill="1" applyBorder="1" applyAlignment="1">
      <alignment horizontal="center"/>
    </xf>
    <xf numFmtId="0" fontId="26" fillId="17" borderId="71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3" applyNumberFormat="1" applyFont="1" applyAlignment="1">
      <alignment horizontal="center"/>
    </xf>
  </cellXfs>
  <cellStyles count="9">
    <cellStyle name="Hiperligação" xfId="8" builtinId="8"/>
    <cellStyle name="Moeda" xfId="2" builtinId="4"/>
    <cellStyle name="Moeda 2" xfId="5" xr:uid="{579D25CA-F885-462F-B699-A694D2041A13}"/>
    <cellStyle name="Moeda 3" xfId="7" xr:uid="{26C3099B-6167-4A92-893D-EC250DEBCA1E}"/>
    <cellStyle name="Normal" xfId="0" builtinId="0"/>
    <cellStyle name="Percentagem" xfId="3" builtinId="5"/>
    <cellStyle name="Vírgula" xfId="1" builtinId="3"/>
    <cellStyle name="Vírgula 2" xfId="4" xr:uid="{7231F077-D471-41E6-AE58-62FA5354E32C}"/>
    <cellStyle name="Vírgula 3" xfId="6" xr:uid="{11BC8B9A-5506-46F9-9F7E-5E79E2A74768}"/>
  </cellStyles>
  <dxfs count="326"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7"/>
      </font>
    </dxf>
    <dxf>
      <font>
        <color theme="7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theme="0" tint="-0.24994659260841701"/>
      </font>
    </dxf>
    <dxf>
      <font>
        <color theme="0" tint="-0.14996795556505021"/>
      </font>
    </dxf>
    <dxf>
      <font>
        <color theme="0"/>
      </font>
    </dxf>
    <dxf>
      <font>
        <color theme="0" tint="-0.14996795556505021"/>
      </font>
    </dxf>
    <dxf>
      <font>
        <color theme="0" tint="-0.14996795556505021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theme="7"/>
      </font>
    </dxf>
    <dxf>
      <font>
        <color theme="7"/>
      </font>
    </dxf>
    <dxf>
      <font>
        <color theme="0"/>
      </font>
    </dxf>
    <dxf>
      <font>
        <color rgb="FFFFC000"/>
      </font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9" tint="0.39994506668294322"/>
      </font>
    </dxf>
    <dxf>
      <font>
        <color theme="0"/>
      </font>
    </dxf>
    <dxf>
      <font>
        <color theme="0"/>
      </font>
    </dxf>
    <dxf>
      <font>
        <color rgb="FFFFC000"/>
      </font>
    </dxf>
    <dxf>
      <font>
        <color auto="1"/>
      </font>
      <fill>
        <patternFill>
          <bgColor rgb="FF00B050"/>
        </patternFill>
      </fill>
    </dxf>
    <dxf>
      <fill>
        <patternFill>
          <bgColor rgb="FFFF0000"/>
        </patternFill>
      </fill>
    </dxf>
    <dxf>
      <font>
        <color theme="0"/>
      </font>
    </dxf>
    <dxf>
      <font>
        <color theme="9" tint="0.39994506668294322"/>
      </font>
    </dxf>
    <dxf>
      <font>
        <b/>
        <i val="0"/>
        <u val="double"/>
        <color theme="5" tint="-0.499984740745262"/>
      </font>
    </dxf>
    <dxf>
      <font>
        <b/>
        <i val="0"/>
        <u/>
        <color theme="5" tint="-0.499984740745262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b/>
        <i val="0"/>
        <u val="double"/>
        <color theme="5" tint="-0.499984740745262"/>
      </font>
    </dxf>
    <dxf>
      <font>
        <b/>
        <i val="0"/>
        <u/>
        <color theme="5" tint="-0.499984740745262"/>
      </font>
    </dxf>
    <dxf>
      <font>
        <color theme="0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/>
      </font>
    </dxf>
    <dxf>
      <font>
        <color theme="0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 tint="-4.9989318521683403E-2"/>
      </font>
    </dxf>
    <dxf>
      <font>
        <color theme="0"/>
      </font>
    </dxf>
    <dxf>
      <font>
        <color theme="0" tint="-4.9989318521683403E-2"/>
      </font>
    </dxf>
    <dxf>
      <font>
        <color theme="0"/>
      </font>
    </dxf>
    <dxf>
      <font>
        <color theme="0"/>
      </font>
    </dxf>
    <dxf>
      <font>
        <b/>
        <i val="0"/>
        <u val="double"/>
        <color theme="5" tint="-0.499984740745262"/>
      </font>
    </dxf>
    <dxf>
      <font>
        <b/>
        <i val="0"/>
        <u/>
        <color theme="5" tint="-0.499984740745262"/>
      </font>
    </dxf>
    <dxf>
      <font>
        <color theme="0"/>
      </font>
    </dxf>
    <dxf>
      <font>
        <color rgb="FFFF0000"/>
      </font>
    </dxf>
    <dxf>
      <font>
        <b/>
        <i val="0"/>
        <u/>
        <color theme="5" tint="-0.499984740745262"/>
      </font>
    </dxf>
    <dxf>
      <font>
        <color theme="0"/>
      </font>
    </dxf>
    <dxf>
      <font>
        <color theme="0"/>
      </font>
    </dxf>
    <dxf>
      <font>
        <b/>
        <i val="0"/>
        <u/>
        <color theme="5" tint="-0.499984740745262"/>
      </font>
    </dxf>
    <dxf>
      <font>
        <color theme="0"/>
      </font>
    </dxf>
    <dxf>
      <font>
        <color rgb="FFFF0000"/>
      </font>
    </dxf>
    <dxf>
      <font>
        <color theme="0"/>
      </font>
    </dxf>
    <dxf>
      <font>
        <color rgb="FFFF0000"/>
      </font>
    </dxf>
  </dxfs>
  <tableStyles count="0" defaultTableStyle="TableStyleMedium2" defaultPivotStyle="PivotStyleLight16"/>
  <colors>
    <mruColors>
      <color rgb="FFCC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externalLink" Target="externalLinks/externalLink2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externalLink" Target="externalLinks/externalLink1.xml"/><Relationship Id="rId17" Type="http://schemas.openxmlformats.org/officeDocument/2006/relationships/sheetMetadata" Target="metadata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6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_rels/chart27.xml.rels><?xml version="1.0" encoding="UTF-8" standalone="yes"?>
<Relationships xmlns="http://schemas.openxmlformats.org/package/2006/relationships"><Relationship Id="rId2" Type="http://schemas.microsoft.com/office/2011/relationships/chartColorStyle" Target="colors25.xml"/><Relationship Id="rId1" Type="http://schemas.microsoft.com/office/2011/relationships/chartStyle" Target="style25.xml"/></Relationships>
</file>

<file path=xl/charts/_rels/chart28.xml.rels><?xml version="1.0" encoding="UTF-8" standalone="yes"?>
<Relationships xmlns="http://schemas.openxmlformats.org/package/2006/relationships"><Relationship Id="rId2" Type="http://schemas.microsoft.com/office/2011/relationships/chartColorStyle" Target="colors26.xml"/><Relationship Id="rId1" Type="http://schemas.microsoft.com/office/2011/relationships/chartStyle" Target="style26.xml"/></Relationships>
</file>

<file path=xl/charts/_rels/chart29.xml.rels><?xml version="1.0" encoding="UTF-8" standalone="yes"?>
<Relationships xmlns="http://schemas.openxmlformats.org/package/2006/relationships"><Relationship Id="rId2" Type="http://schemas.microsoft.com/office/2011/relationships/chartColorStyle" Target="colors27.xml"/><Relationship Id="rId1" Type="http://schemas.microsoft.com/office/2011/relationships/chartStyle" Target="style27.xml"/></Relationships>
</file>

<file path=xl/charts/_rels/chart30.xml.rels><?xml version="1.0" encoding="UTF-8" standalone="yes"?>
<Relationships xmlns="http://schemas.openxmlformats.org/package/2006/relationships"><Relationship Id="rId2" Type="http://schemas.microsoft.com/office/2011/relationships/chartColorStyle" Target="colors28.xml"/><Relationship Id="rId1" Type="http://schemas.microsoft.com/office/2011/relationships/chartStyle" Target="style28.xml"/></Relationships>
</file>

<file path=xl/charts/_rels/chart31.xml.rels><?xml version="1.0" encoding="UTF-8" standalone="yes"?>
<Relationships xmlns="http://schemas.openxmlformats.org/package/2006/relationships"><Relationship Id="rId2" Type="http://schemas.microsoft.com/office/2011/relationships/chartColorStyle" Target="colors29.xml"/><Relationship Id="rId1" Type="http://schemas.microsoft.com/office/2011/relationships/chartStyle" Target="style29.xml"/></Relationships>
</file>

<file path=xl/charts/_rels/chart32.xml.rels><?xml version="1.0" encoding="UTF-8" standalone="yes"?>
<Relationships xmlns="http://schemas.openxmlformats.org/package/2006/relationships"><Relationship Id="rId2" Type="http://schemas.microsoft.com/office/2011/relationships/chartColorStyle" Target="colors30.xml"/><Relationship Id="rId1" Type="http://schemas.microsoft.com/office/2011/relationships/chartStyle" Target="style30.xml"/></Relationships>
</file>

<file path=xl/charts/_rels/chart33.xml.rels><?xml version="1.0" encoding="UTF-8" standalone="yes"?>
<Relationships xmlns="http://schemas.openxmlformats.org/package/2006/relationships"><Relationship Id="rId2" Type="http://schemas.microsoft.com/office/2011/relationships/chartColorStyle" Target="colors31.xml"/><Relationship Id="rId1" Type="http://schemas.microsoft.com/office/2011/relationships/chartStyle" Target="style31.xml"/></Relationships>
</file>

<file path=xl/charts/_rels/chart34.xml.rels><?xml version="1.0" encoding="UTF-8" standalone="yes"?>
<Relationships xmlns="http://schemas.openxmlformats.org/package/2006/relationships"><Relationship Id="rId2" Type="http://schemas.microsoft.com/office/2011/relationships/chartColorStyle" Target="colors32.xml"/><Relationship Id="rId1" Type="http://schemas.microsoft.com/office/2011/relationships/chartStyle" Target="style32.xml"/></Relationships>
</file>

<file path=xl/charts/_rels/chart35.xml.rels><?xml version="1.0" encoding="UTF-8" standalone="yes"?>
<Relationships xmlns="http://schemas.openxmlformats.org/package/2006/relationships"><Relationship Id="rId2" Type="http://schemas.microsoft.com/office/2011/relationships/chartColorStyle" Target="colors33.xml"/><Relationship Id="rId1" Type="http://schemas.microsoft.com/office/2011/relationships/chartStyle" Target="style33.xml"/></Relationships>
</file>

<file path=xl/charts/_rels/chart36.xml.rels><?xml version="1.0" encoding="UTF-8" standalone="yes"?>
<Relationships xmlns="http://schemas.openxmlformats.org/package/2006/relationships"><Relationship Id="rId2" Type="http://schemas.microsoft.com/office/2011/relationships/chartColorStyle" Target="colors34.xml"/><Relationship Id="rId1" Type="http://schemas.microsoft.com/office/2011/relationships/chartStyle" Target="style34.xml"/></Relationships>
</file>

<file path=xl/charts/_rels/chart37.xml.rels><?xml version="1.0" encoding="UTF-8" standalone="yes"?>
<Relationships xmlns="http://schemas.openxmlformats.org/package/2006/relationships"><Relationship Id="rId2" Type="http://schemas.microsoft.com/office/2011/relationships/chartColorStyle" Target="colors35.xml"/><Relationship Id="rId1" Type="http://schemas.microsoft.com/office/2011/relationships/chartStyle" Target="style35.xml"/></Relationships>
</file>

<file path=xl/charts/_rels/chart38.xml.rels><?xml version="1.0" encoding="UTF-8" standalone="yes"?>
<Relationships xmlns="http://schemas.openxmlformats.org/package/2006/relationships"><Relationship Id="rId2" Type="http://schemas.microsoft.com/office/2011/relationships/chartColorStyle" Target="colors36.xml"/><Relationship Id="rId1" Type="http://schemas.microsoft.com/office/2011/relationships/chartStyle" Target="style36.xml"/></Relationships>
</file>

<file path=xl/charts/_rels/chart39.xml.rels><?xml version="1.0" encoding="UTF-8" standalone="yes"?>
<Relationships xmlns="http://schemas.openxmlformats.org/package/2006/relationships"><Relationship Id="rId2" Type="http://schemas.microsoft.com/office/2011/relationships/chartColorStyle" Target="colors37.xml"/><Relationship Id="rId1" Type="http://schemas.microsoft.com/office/2011/relationships/chartStyle" Target="style3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da organização'!$C$16:$E$16</c:f>
              <c:strCache>
                <c:ptCount val="3"/>
                <c:pt idx="0">
                  <c:v>Crescimento de vendas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41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tint val="41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tint val="41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tint val="41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'Resultados da organização'!$F$15:$T$15</c15:sqref>
                  </c15:fullRef>
                </c:ext>
              </c:extLst>
              <c:f>('Resultados da organização'!$F$15:$N$15,'Resultados da organização'!$R$15:$T$15)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YTD</c:v>
                </c:pt>
                <c:pt idx="10">
                  <c:v>LY</c:v>
                </c:pt>
                <c:pt idx="11">
                  <c:v>Variação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'Resultados da organização'!$F$16:$T$16</c15:sqref>
                  </c15:fullRef>
                </c:ext>
              </c:extLst>
              <c:f>('Resultados da organização'!$F$16:$N$16,'Resultados da organização'!$R$16:$T$16)</c:f>
              <c:numCache>
                <c:formatCode>0.00%</c:formatCode>
                <c:ptCount val="12"/>
                <c:pt idx="9">
                  <c:v>0.11840000000000001</c:v>
                </c:pt>
                <c:pt idx="11">
                  <c:v>0.11840000000000001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ED5-44F4-B31A-CE9F74A8FDB4}"/>
            </c:ext>
          </c:extLst>
        </c:ser>
        <c:ser>
          <c:idx val="2"/>
          <c:order val="2"/>
          <c:tx>
            <c:strRef>
              <c:f>'Resultados da organização'!$C$18:$E$18</c:f>
              <c:strCache>
                <c:ptCount val="3"/>
                <c:pt idx="0">
                  <c:v>Crescimento Delivery</c:v>
                </c:pt>
              </c:strCache>
            </c:strRef>
          </c:tx>
          <c:spPr>
            <a:gradFill rotWithShape="1">
              <a:gsLst>
                <a:gs pos="0">
                  <a:schemeClr val="accent6">
                    <a:tint val="63000"/>
                    <a:lumMod val="110000"/>
                    <a:satMod val="105000"/>
                    <a:tint val="67000"/>
                  </a:schemeClr>
                </a:gs>
                <a:gs pos="50000">
                  <a:schemeClr val="accent6">
                    <a:tint val="63000"/>
                    <a:lumMod val="105000"/>
                    <a:satMod val="103000"/>
                    <a:tint val="73000"/>
                  </a:schemeClr>
                </a:gs>
                <a:gs pos="100000">
                  <a:schemeClr val="accent6">
                    <a:tint val="63000"/>
                    <a:lumMod val="105000"/>
                    <a:satMod val="109000"/>
                    <a:tint val="81000"/>
                  </a:schemeClr>
                </a:gs>
              </a:gsLst>
              <a:lin ang="5400000" scaled="0"/>
            </a:gradFill>
            <a:ln w="9525" cap="flat" cmpd="sng" algn="ctr">
              <a:solidFill>
                <a:schemeClr val="accent6">
                  <a:tint val="63000"/>
                  <a:shade val="95000"/>
                </a:schemeClr>
              </a:solidFill>
              <a:round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'Resultados da organização'!$F$15:$T$15</c15:sqref>
                  </c15:fullRef>
                </c:ext>
              </c:extLst>
              <c:f>('Resultados da organização'!$F$15:$N$15,'Resultados da organização'!$R$15:$T$15)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YTD</c:v>
                </c:pt>
                <c:pt idx="10">
                  <c:v>LY</c:v>
                </c:pt>
                <c:pt idx="11">
                  <c:v>Variação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'Resultados da organização'!$F$18:$T$18</c15:sqref>
                  </c15:fullRef>
                </c:ext>
              </c:extLst>
              <c:f>('Resultados da organização'!$F$18:$N$18,'Resultados da organização'!$R$18:$T$18)</c:f>
              <c:numCache>
                <c:formatCode>0.00%</c:formatCode>
                <c:ptCount val="12"/>
                <c:pt idx="9">
                  <c:v>0.19259999999999999</c:v>
                </c:pt>
                <c:pt idx="11">
                  <c:v>0.19259999999999999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ED5-44F4-B31A-CE9F74A8FD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00"/>
        <c:overlap val="-24"/>
        <c:axId val="14812943"/>
        <c:axId val="1085583887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'Resultados da organização'!$C$17:$E$17</c15:sqref>
                        </c15:formulaRef>
                      </c:ext>
                    </c:extLst>
                    <c:strCache>
                      <c:ptCount val="3"/>
                      <c:pt idx="0">
                        <c:v>Crescimento de GC's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tint val="52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tint val="52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tint val="52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tint val="52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'Resultados da organização'!$F$15:$T$15</c15:sqref>
                        </c15:fullRef>
                        <c15:formulaRef>
                          <c15:sqref>('Resultados da organização'!$F$15:$N$15,'Resultados da organização'!$R$15:$T$15)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  <c:pt idx="11">
                        <c:v>Variação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'Resultados da organização'!$F$17:$T$17</c15:sqref>
                        </c15:fullRef>
                        <c15:formulaRef>
                          <c15:sqref>('Resultados da organização'!$F$17:$N$17,'Resultados da organização'!$R$17:$T$17)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9">
                        <c:v>4.1099999999999998E-2</c:v>
                      </c:pt>
                      <c:pt idx="11">
                        <c:v>4.1099999999999998E-2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1-7ED5-44F4-B31A-CE9F74A8FDB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organização'!$C$19:$E$19</c15:sqref>
                        </c15:formulaRef>
                      </c:ext>
                    </c:extLst>
                    <c:strCache>
                      <c:ptCount val="3"/>
                      <c:pt idx="0">
                        <c:v>Crescimento GC's Delivery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tint val="74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tint val="74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tint val="74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tint val="74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-5400000" spcFirstLastPara="1" vertOverflow="ellipsis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organização'!$F$15:$T$15</c15:sqref>
                        </c15:fullRef>
                        <c15:formulaRef>
                          <c15:sqref>('Resultados da organização'!$F$15:$N$15,'Resultados da organização'!$R$15:$T$15)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  <c:pt idx="11">
                        <c:v>Variação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organização'!$F$19:$T$19</c15:sqref>
                        </c15:fullRef>
                        <c15:formulaRef>
                          <c15:sqref>('Resultados da organização'!$F$19:$N$19,'Resultados da organização'!$R$19:$T$19)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9">
                        <c:v>0.1055</c:v>
                      </c:pt>
                      <c:pt idx="11">
                        <c:v>0.1055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7ED5-44F4-B31A-CE9F74A8FDB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organização'!$C$20:$E$20</c15:sqref>
                        </c15:formulaRef>
                      </c:ext>
                    </c:extLst>
                    <c:strCache>
                      <c:ptCount val="3"/>
                      <c:pt idx="0">
                        <c:v>Peso Delivery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tint val="84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tint val="84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tint val="84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tint val="84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organização'!$F$15:$T$15</c15:sqref>
                        </c15:fullRef>
                        <c15:formulaRef>
                          <c15:sqref>('Resultados da organização'!$F$15:$N$15,'Resultados da organização'!$R$15:$T$15)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  <c:pt idx="11">
                        <c:v>Variação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organização'!$F$20:$T$20</c15:sqref>
                        </c15:fullRef>
                        <c15:formulaRef>
                          <c15:sqref>('Resultados da organização'!$F$20:$N$20,'Resultados da organização'!$R$20:$T$20)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0.57534934052663766</c:v>
                      </c:pt>
                      <c:pt idx="1">
                        <c:v>0.48743465643821277</c:v>
                      </c:pt>
                      <c:pt idx="2">
                        <c:v>0.55094074244869728</c:v>
                      </c:pt>
                      <c:pt idx="3">
                        <c:v>0.48917944209341846</c:v>
                      </c:pt>
                      <c:pt idx="4">
                        <c:v>0.51277637000212783</c:v>
                      </c:pt>
                      <c:pt idx="5">
                        <c:v>0.51137934973061383</c:v>
                      </c:pt>
                      <c:pt idx="6">
                        <c:v>0.47767429434740954</c:v>
                      </c:pt>
                      <c:pt idx="7">
                        <c:v>0.45997226050506984</c:v>
                      </c:pt>
                      <c:pt idx="8">
                        <c:v>0.51622935129827352</c:v>
                      </c:pt>
                      <c:pt idx="9">
                        <c:v>0.51384801517924961</c:v>
                      </c:pt>
                      <c:pt idx="11">
                        <c:v>0.51384801517924961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7ED5-44F4-B31A-CE9F74A8FDB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organização'!$C$21:$E$21</c15:sqref>
                        </c15:formulaRef>
                      </c:ext>
                    </c:extLst>
                    <c:strCache>
                      <c:ptCount val="3"/>
                      <c:pt idx="0">
                        <c:v>Peso MOP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tint val="95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tint val="95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tint val="95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tint val="95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organização'!$F$15:$T$15</c15:sqref>
                        </c15:fullRef>
                        <c15:formulaRef>
                          <c15:sqref>('Resultados da organização'!$F$15:$N$15,'Resultados da organização'!$R$15:$T$15)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  <c:pt idx="11">
                        <c:v>Variação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organização'!$F$21:$T$21</c15:sqref>
                        </c15:fullRef>
                        <c15:formulaRef>
                          <c15:sqref>('Resultados da organização'!$F$21:$N$21,'Resultados da organização'!$R$21:$T$21)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3.8999999999999998E-3</c:v>
                      </c:pt>
                      <c:pt idx="1">
                        <c:v>3.3E-3</c:v>
                      </c:pt>
                      <c:pt idx="2">
                        <c:v>3.3999999999999998E-3</c:v>
                      </c:pt>
                      <c:pt idx="3">
                        <c:v>3.8E-3</c:v>
                      </c:pt>
                      <c:pt idx="4">
                        <c:v>3.8E-3</c:v>
                      </c:pt>
                      <c:pt idx="5">
                        <c:v>3.9636346845982051E-3</c:v>
                      </c:pt>
                      <c:pt idx="6">
                        <c:v>4.0832964846340926E-3</c:v>
                      </c:pt>
                      <c:pt idx="7">
                        <c:v>3.5872310400991763E-3</c:v>
                      </c:pt>
                      <c:pt idx="8">
                        <c:v>4.1365766348054143E-3</c:v>
                      </c:pt>
                      <c:pt idx="9">
                        <c:v>3.893940119232853E-3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7ED5-44F4-B31A-CE9F74A8FDB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organização'!$C$22:$E$22</c15:sqref>
                        </c15:formulaRef>
                      </c:ext>
                    </c:extLst>
                    <c:strCache>
                      <c:ptCount val="3"/>
                      <c:pt idx="0">
                        <c:v>Tempos de Serviço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94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shade val="94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shade val="94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94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organização'!$F$15:$T$15</c15:sqref>
                        </c15:fullRef>
                        <c15:formulaRef>
                          <c15:sqref>('Resultados da organização'!$F$15:$N$15,'Resultados da organização'!$R$15:$T$15)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  <c:pt idx="11">
                        <c:v>Variação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organização'!$F$22:$T$22</c15:sqref>
                        </c15:fullRef>
                        <c15:formulaRef>
                          <c15:sqref>('Resultados da organização'!$F$22:$N$22,'Resultados da organização'!$R$22:$T$22)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110</c:v>
                      </c:pt>
                      <c:pt idx="1">
                        <c:v>110</c:v>
                      </c:pt>
                      <c:pt idx="2">
                        <c:v>114</c:v>
                      </c:pt>
                      <c:pt idx="3">
                        <c:v>117</c:v>
                      </c:pt>
                      <c:pt idx="4">
                        <c:v>119</c:v>
                      </c:pt>
                      <c:pt idx="5">
                        <c:v>123</c:v>
                      </c:pt>
                      <c:pt idx="6">
                        <c:v>145</c:v>
                      </c:pt>
                      <c:pt idx="7">
                        <c:v>143</c:v>
                      </c:pt>
                      <c:pt idx="8">
                        <c:v>125</c:v>
                      </c:pt>
                      <c:pt idx="9">
                        <c:v>111</c:v>
                      </c:pt>
                      <c:pt idx="10">
                        <c:v>128</c:v>
                      </c:pt>
                      <c:pt idx="11">
                        <c:v>-17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7ED5-44F4-B31A-CE9F74A8FDB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organização'!$C$24:$E$24</c15:sqref>
                        </c15:formulaRef>
                      </c:ext>
                    </c:extLst>
                    <c:strCache>
                      <c:ptCount val="3"/>
                      <c:pt idx="0">
                        <c:v>Fastinsight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83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shade val="83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shade val="83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83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organização'!$F$15:$T$15</c15:sqref>
                        </c15:fullRef>
                        <c15:formulaRef>
                          <c15:sqref>('Resultados da organização'!$F$15:$N$15,'Resultados da organização'!$R$15:$T$15)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  <c:pt idx="11">
                        <c:v>Variação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organização'!$F$24:$T$24</c15:sqref>
                        </c15:fullRef>
                        <c15:formulaRef>
                          <c15:sqref>('Resultados da organização'!$F$24:$N$24,'Resultados da organização'!$R$24:$T$24)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0.98099999999999998</c:v>
                      </c:pt>
                      <c:pt idx="1">
                        <c:v>0.98</c:v>
                      </c:pt>
                      <c:pt idx="2">
                        <c:v>0.96299999999999997</c:v>
                      </c:pt>
                      <c:pt idx="3">
                        <c:v>0.97399999999999998</c:v>
                      </c:pt>
                      <c:pt idx="4">
                        <c:v>0.96899999999999997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7ED5-44F4-B31A-CE9F74A8FDB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organização'!$C$25:$E$25</c15:sqref>
                        </c15:formulaRef>
                      </c:ext>
                    </c:extLst>
                    <c:strCache>
                      <c:ptCount val="3"/>
                      <c:pt idx="0">
                        <c:v>Fastinsight Nacional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73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shade val="73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shade val="73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73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organização'!$F$15:$T$15</c15:sqref>
                        </c15:fullRef>
                        <c15:formulaRef>
                          <c15:sqref>('Resultados da organização'!$F$15:$N$15,'Resultados da organização'!$R$15:$T$15)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  <c:pt idx="11">
                        <c:v>Variação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organização'!$F$25:$T$25</c15:sqref>
                        </c15:fullRef>
                        <c15:formulaRef>
                          <c15:sqref>('Resultados da organização'!$F$25:$N$25,'Resultados da organização'!$R$25:$T$25)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0.95199999999999996</c:v>
                      </c:pt>
                      <c:pt idx="1">
                        <c:v>0.94699999999999995</c:v>
                      </c:pt>
                      <c:pt idx="2">
                        <c:v>0.93700000000000006</c:v>
                      </c:pt>
                      <c:pt idx="3">
                        <c:v>0.93500000000000005</c:v>
                      </c:pt>
                      <c:pt idx="4">
                        <c:v>0.92700000000000005</c:v>
                      </c:pt>
                      <c:pt idx="11" formatCode="0.00%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7ED5-44F4-B31A-CE9F74A8FDB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organização'!$C$26:$E$26</c15:sqref>
                        </c15:formulaRef>
                      </c:ext>
                    </c:extLst>
                    <c:strCache>
                      <c:ptCount val="3"/>
                      <c:pt idx="0">
                        <c:v>Turnover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62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shade val="62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shade val="62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62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organização'!$F$15:$T$15</c15:sqref>
                        </c15:fullRef>
                        <c15:formulaRef>
                          <c15:sqref>('Resultados da organização'!$F$15:$N$15,'Resultados da organização'!$R$15:$T$15)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  <c:pt idx="11">
                        <c:v>Variação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organização'!$F$26:$T$26</c15:sqref>
                        </c15:fullRef>
                        <c15:formulaRef>
                          <c15:sqref>('Resultados da organização'!$F$26:$N$26,'Resultados da organização'!$R$26:$T$26)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7ED5-44F4-B31A-CE9F74A8FDB4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organização'!$C$27:$E$27</c15:sqref>
                        </c15:formulaRef>
                      </c:ext>
                    </c:extLst>
                    <c:strCache>
                      <c:ptCount val="3"/>
                      <c:pt idx="0">
                        <c:v>Staffing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51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shade val="51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shade val="51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51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organização'!$F$15:$T$15</c15:sqref>
                        </c15:fullRef>
                        <c15:formulaRef>
                          <c15:sqref>('Resultados da organização'!$F$15:$N$15,'Resultados da organização'!$R$15:$T$15)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  <c:pt idx="11">
                        <c:v>Variação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organização'!$F$27:$T$27</c15:sqref>
                        </c15:fullRef>
                        <c15:formulaRef>
                          <c15:sqref>('Resultados da organização'!$F$27:$N$27,'Resultados da organização'!$R$27:$T$27)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7ED5-44F4-B31A-CE9F74A8FDB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organização'!$C$28:$E$28</c15:sqref>
                        </c15:formulaRef>
                      </c:ext>
                    </c:extLst>
                    <c:strCache>
                      <c:ptCount val="3"/>
                      <c:pt idx="0">
                        <c:v>Staffing</c:v>
                      </c:pt>
                    </c:strCache>
                  </c:strRef>
                </c:tx>
                <c:spPr>
                  <a:gradFill rotWithShape="1">
                    <a:gsLst>
                      <a:gs pos="0">
                        <a:schemeClr val="accent6">
                          <a:shade val="40000"/>
                          <a:lumMod val="110000"/>
                          <a:satMod val="105000"/>
                          <a:tint val="67000"/>
                        </a:schemeClr>
                      </a:gs>
                      <a:gs pos="50000">
                        <a:schemeClr val="accent6">
                          <a:shade val="40000"/>
                          <a:lumMod val="105000"/>
                          <a:satMod val="103000"/>
                          <a:tint val="73000"/>
                        </a:schemeClr>
                      </a:gs>
                      <a:gs pos="100000">
                        <a:schemeClr val="accent6">
                          <a:shade val="40000"/>
                          <a:lumMod val="105000"/>
                          <a:satMod val="109000"/>
                          <a:tint val="81000"/>
                        </a:schemeClr>
                      </a:gs>
                    </a:gsLst>
                    <a:lin ang="5400000" scaled="0"/>
                  </a:gradFill>
                  <a:ln w="9525" cap="flat" cmpd="sng" algn="ctr">
                    <a:solidFill>
                      <a:schemeClr val="accent6">
                        <a:shade val="40000"/>
                        <a:shade val="95000"/>
                      </a:schemeClr>
                    </a:solidFill>
                    <a:round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organização'!$F$15:$T$15</c15:sqref>
                        </c15:fullRef>
                        <c15:formulaRef>
                          <c15:sqref>('Resultados da organização'!$F$15:$N$15,'Resultados da organização'!$R$15:$T$15)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  <c:pt idx="11">
                        <c:v>Variação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organização'!$F$28:$T$28</c15:sqref>
                        </c15:fullRef>
                        <c15:formulaRef>
                          <c15:sqref>('Resultados da organização'!$F$28:$N$28,'Resultados da organização'!$R$28:$T$28)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11" formatCode="0%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7ED5-44F4-B31A-CE9F74A8FDB4}"/>
                  </c:ext>
                </c:extLst>
              </c15:ser>
            </c15:filteredBarSeries>
          </c:ext>
        </c:extLst>
      </c:barChart>
      <c:catAx>
        <c:axId val="1481294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085583887"/>
        <c:crosses val="autoZero"/>
        <c:auto val="1"/>
        <c:lblAlgn val="ctr"/>
        <c:lblOffset val="100"/>
        <c:noMultiLvlLbl val="0"/>
      </c:catAx>
      <c:valAx>
        <c:axId val="108558388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48129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'Resultados da organização'!$C$31:$E$31</c:f>
              <c:strCache>
                <c:ptCount val="3"/>
                <c:pt idx="0">
                  <c:v>Vendas PB</c:v>
                </c:pt>
              </c:strCache>
            </c:strRef>
          </c:tx>
          <c:spPr>
            <a:solidFill>
              <a:schemeClr val="accent6">
                <a:shade val="4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'Resultados da organização'!$F$30:$U$30</c15:sqref>
                  </c15:fullRef>
                </c:ext>
              </c:extLst>
              <c:f>('Resultados da organização'!$F$30:$N$30,'Resultados da organização'!$R$30:$S$30)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YTD</c:v>
                </c:pt>
                <c:pt idx="10">
                  <c:v>LY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'Resultados da organização'!$F$31:$U$31</c15:sqref>
                  </c15:fullRef>
                </c:ext>
              </c:extLst>
              <c:f>('Resultados da organização'!$F$31:$N$31,'Resultados da organização'!$R$31:$S$31)</c:f>
              <c:numCache>
                <c:formatCode>0.00%</c:formatCode>
                <c:ptCount val="11"/>
                <c:pt idx="10">
                  <c:v>0.16689999999999999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1BC-43C4-8155-063229F43FA4}"/>
            </c:ext>
          </c:extLst>
        </c:ser>
        <c:ser>
          <c:idx val="1"/>
          <c:order val="1"/>
          <c:tx>
            <c:strRef>
              <c:f>'Resultados da organização'!$C$32:$E$32</c:f>
              <c:strCache>
                <c:ptCount val="3"/>
                <c:pt idx="0">
                  <c:v>Vendas Região</c:v>
                </c:pt>
              </c:strCache>
            </c:strRef>
          </c:tx>
          <c:spPr>
            <a:solidFill>
              <a:schemeClr val="accent6">
                <a:shade val="51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'Resultados da organização'!$F$30:$U$30</c15:sqref>
                  </c15:fullRef>
                </c:ext>
              </c:extLst>
              <c:f>('Resultados da organização'!$F$30:$N$30,'Resultados da organização'!$R$30:$S$30)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YTD</c:v>
                </c:pt>
                <c:pt idx="10">
                  <c:v>LY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'Resultados da organização'!$F$32:$U$32</c15:sqref>
                  </c15:fullRef>
                </c:ext>
              </c:extLst>
              <c:f>('Resultados da organização'!$F$32:$N$32,'Resultados da organização'!$R$32:$S$32)</c:f>
              <c:numCache>
                <c:formatCode>0.00%</c:formatCode>
                <c:ptCount val="11"/>
                <c:pt idx="10">
                  <c:v>0.19520000000000001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41BC-43C4-8155-063229F43FA4}"/>
            </c:ext>
          </c:extLst>
        </c:ser>
        <c:ser>
          <c:idx val="2"/>
          <c:order val="2"/>
          <c:tx>
            <c:strRef>
              <c:f>'Resultados da organização'!$C$36:$E$36</c:f>
              <c:strCache>
                <c:ptCount val="3"/>
                <c:pt idx="0">
                  <c:v>Vendas Nacional</c:v>
                </c:pt>
              </c:strCache>
            </c:strRef>
          </c:tx>
          <c:spPr>
            <a:solidFill>
              <a:schemeClr val="accent6">
                <a:shade val="62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'Resultados da organização'!$F$30:$U$30</c15:sqref>
                  </c15:fullRef>
                </c:ext>
              </c:extLst>
              <c:f>('Resultados da organização'!$F$30:$N$30,'Resultados da organização'!$R$30:$S$30)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YTD</c:v>
                </c:pt>
                <c:pt idx="10">
                  <c:v>LY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'Resultados da organização'!$F$36:$U$36</c15:sqref>
                  </c15:fullRef>
                </c:ext>
              </c:extLst>
              <c:f>('Resultados da organização'!$F$36:$N$36,'Resultados da organização'!$R$36:$S$36)</c:f>
              <c:numCache>
                <c:formatCode>0.00%</c:formatCode>
                <c:ptCount val="11"/>
                <c:pt idx="9">
                  <c:v>8.5199999999999998E-2</c:v>
                </c:pt>
                <c:pt idx="10">
                  <c:v>0.19520000000000001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41BC-43C4-8155-063229F43FA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1933163727"/>
        <c:axId val="212117279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'Resultados da organização'!$C$38:$E$38</c15:sqref>
                        </c15:formulaRef>
                      </c:ext>
                    </c:extLst>
                    <c:strCache>
                      <c:ptCount val="3"/>
                      <c:pt idx="0">
                        <c:v>GC's PB</c:v>
                      </c:pt>
                    </c:strCache>
                  </c:strRef>
                </c:tx>
                <c:spPr>
                  <a:solidFill>
                    <a:schemeClr val="accent6">
                      <a:shade val="7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'Resultados da organização'!$F$30:$U$30</c15:sqref>
                        </c15:fullRef>
                        <c15:formulaRef>
                          <c15:sqref>('Resultados da organização'!$F$30:$N$30,'Resultados da organização'!$R$30:$S$30)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'Resultados da organização'!$F$38:$U$38</c15:sqref>
                        </c15:fullRef>
                        <c15:formulaRef>
                          <c15:sqref>('Resultados da organização'!$F$38:$N$38,'Resultados da organização'!$R$38:$S$38)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0.1074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3-41BC-43C4-8155-063229F43FA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organização'!$C$40:$E$40</c15:sqref>
                        </c15:formulaRef>
                      </c:ext>
                    </c:extLst>
                    <c:strCache>
                      <c:ptCount val="3"/>
                      <c:pt idx="0">
                        <c:v>Gc's Tipologia</c:v>
                      </c:pt>
                    </c:strCache>
                  </c:strRef>
                </c:tx>
                <c:spPr>
                  <a:solidFill>
                    <a:schemeClr val="accent6">
                      <a:shade val="8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organização'!$F$30:$U$30</c15:sqref>
                        </c15:fullRef>
                        <c15:formulaRef>
                          <c15:sqref>('Resultados da organização'!$F$30:$N$30,'Resultados da organização'!$R$30:$S$30)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organização'!$F$40:$U$40</c15:sqref>
                        </c15:fullRef>
                        <c15:formulaRef>
                          <c15:sqref>('Resultados da organização'!$F$40:$N$40,'Resultados da organização'!$R$40:$S$40)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9.06E-2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1BC-43C4-8155-063229F43FA4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organização'!$C$41:$E$41</c15:sqref>
                        </c15:formulaRef>
                      </c:ext>
                    </c:extLst>
                    <c:strCache>
                      <c:ptCount val="3"/>
                      <c:pt idx="0">
                        <c:v>Gc's Nacional</c:v>
                      </c:pt>
                    </c:strCache>
                  </c:strRef>
                </c:tx>
                <c:spPr>
                  <a:solidFill>
                    <a:schemeClr val="accent6">
                      <a:shade val="9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organização'!$F$30:$U$30</c15:sqref>
                        </c15:fullRef>
                        <c15:formulaRef>
                          <c15:sqref>('Resultados da organização'!$F$30:$N$30,'Resultados da organização'!$R$30:$S$30)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organização'!$F$41:$U$41</c15:sqref>
                        </c15:fullRef>
                        <c15:formulaRef>
                          <c15:sqref>('Resultados da organização'!$F$41:$N$41,'Resultados da organização'!$R$41:$S$41)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0.1444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1BC-43C4-8155-063229F43FA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organização'!$C$42:$E$42</c15:sqref>
                        </c15:formulaRef>
                      </c:ext>
                    </c:extLst>
                    <c:strCache>
                      <c:ptCount val="3"/>
                      <c:pt idx="0">
                        <c:v>Delivery PB</c:v>
                      </c:pt>
                    </c:strCache>
                  </c:strRef>
                </c:tx>
                <c:spPr>
                  <a:solidFill>
                    <a:schemeClr val="accent6">
                      <a:tint val="95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organização'!$F$30:$U$30</c15:sqref>
                        </c15:fullRef>
                        <c15:formulaRef>
                          <c15:sqref>('Resultados da organização'!$F$30:$N$30,'Resultados da organização'!$R$30:$S$30)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organização'!$F$42:$U$42</c15:sqref>
                        </c15:fullRef>
                        <c15:formulaRef>
                          <c15:sqref>('Resultados da organização'!$F$42:$N$42,'Resultados da organização'!$R$42:$S$42)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0.19259999999999999</c:v>
                      </c:pt>
                      <c:pt idx="10">
                        <c:v>0.12740000000000001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41BC-43C4-8155-063229F43FA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organização'!$C$43:$E$43</c15:sqref>
                        </c15:formulaRef>
                      </c:ext>
                    </c:extLst>
                    <c:strCache>
                      <c:ptCount val="3"/>
                      <c:pt idx="0">
                        <c:v>Delivery Região</c:v>
                      </c:pt>
                    </c:strCache>
                  </c:strRef>
                </c:tx>
                <c:spPr>
                  <a:solidFill>
                    <a:schemeClr val="accent6">
                      <a:tint val="8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organização'!$F$30:$U$30</c15:sqref>
                        </c15:fullRef>
                        <c15:formulaRef>
                          <c15:sqref>('Resultados da organização'!$F$30:$N$30,'Resultados da organização'!$R$30:$S$30)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organização'!$F$43:$U$43</c15:sqref>
                        </c15:fullRef>
                        <c15:formulaRef>
                          <c15:sqref>('Resultados da organização'!$F$43:$N$43,'Resultados da organização'!$R$43:$S$43)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9.7600000000000006E-2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1BC-43C4-8155-063229F43FA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organização'!$C$44:$E$44</c15:sqref>
                        </c15:formulaRef>
                      </c:ext>
                    </c:extLst>
                    <c:strCache>
                      <c:ptCount val="3"/>
                      <c:pt idx="0">
                        <c:v>Delivery Nacional</c:v>
                      </c:pt>
                    </c:strCache>
                  </c:strRef>
                </c:tx>
                <c:spPr>
                  <a:solidFill>
                    <a:schemeClr val="accent6">
                      <a:tint val="74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organização'!$F$30:$U$30</c15:sqref>
                        </c15:fullRef>
                        <c15:formulaRef>
                          <c15:sqref>('Resultados da organização'!$F$30:$N$30,'Resultados da organização'!$R$30:$S$30)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organização'!$F$44:$U$44</c15:sqref>
                        </c15:fullRef>
                        <c15:formulaRef>
                          <c15:sqref>('Resultados da organização'!$F$44:$N$44,'Resultados da organização'!$R$44:$S$44)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0.10680000000000001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1BC-43C4-8155-063229F43FA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organização'!$C$45:$E$45</c15:sqref>
                        </c15:formulaRef>
                      </c:ext>
                    </c:extLst>
                    <c:strCache>
                      <c:ptCount val="3"/>
                      <c:pt idx="0">
                        <c:v>Gc's Delivery PB</c:v>
                      </c:pt>
                    </c:strCache>
                  </c:strRef>
                </c:tx>
                <c:spPr>
                  <a:solidFill>
                    <a:schemeClr val="accent6">
                      <a:tint val="63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organização'!$F$30:$U$30</c15:sqref>
                        </c15:fullRef>
                        <c15:formulaRef>
                          <c15:sqref>('Resultados da organização'!$F$30:$N$30,'Resultados da organização'!$R$30:$S$30)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organização'!$F$45:$U$45</c15:sqref>
                        </c15:fullRef>
                        <c15:formulaRef>
                          <c15:sqref>('Resultados da organização'!$F$45:$N$45,'Resultados da organização'!$R$45:$S$45)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0.1055</c:v>
                      </c:pt>
                      <c:pt idx="10">
                        <c:v>5.16E-2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41BC-43C4-8155-063229F43FA4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organização'!$C$46:$E$46</c15:sqref>
                        </c15:formulaRef>
                      </c:ext>
                    </c:extLst>
                    <c:strCache>
                      <c:ptCount val="3"/>
                      <c:pt idx="0">
                        <c:v>Gc's Delivery Região</c:v>
                      </c:pt>
                    </c:strCache>
                  </c:strRef>
                </c:tx>
                <c:spPr>
                  <a:solidFill>
                    <a:schemeClr val="accent6">
                      <a:tint val="52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organização'!$F$30:$U$30</c15:sqref>
                        </c15:fullRef>
                        <c15:formulaRef>
                          <c15:sqref>('Resultados da organização'!$F$30:$N$30,'Resultados da organização'!$R$30:$S$30)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organização'!$F$46:$U$46</c15:sqref>
                        </c15:fullRef>
                        <c15:formulaRef>
                          <c15:sqref>('Resultados da organização'!$F$46:$N$46,'Resultados da organização'!$R$46:$S$46)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1.5599999999999999E-2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41BC-43C4-8155-063229F43FA4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'Resultados da organização'!$C$47:$E$47</c15:sqref>
                        </c15:formulaRef>
                      </c:ext>
                    </c:extLst>
                    <c:strCache>
                      <c:ptCount val="3"/>
                      <c:pt idx="0">
                        <c:v>Gc's Delivery Nacional</c:v>
                      </c:pt>
                    </c:strCache>
                  </c:strRef>
                </c:tx>
                <c:spPr>
                  <a:solidFill>
                    <a:schemeClr val="accent6">
                      <a:tint val="41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organização'!$F$30:$U$30</c15:sqref>
                        </c15:fullRef>
                        <c15:formulaRef>
                          <c15:sqref>('Resultados da organização'!$F$30:$N$30,'Resultados da organização'!$R$30:$S$30)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YTD</c:v>
                      </c:pt>
                      <c:pt idx="10">
                        <c:v>LY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'Resultados da organização'!$F$47:$U$47</c15:sqref>
                        </c15:fullRef>
                        <c15:formulaRef>
                          <c15:sqref>('Resultados da organização'!$F$47:$N$47,'Resultados da organização'!$R$47:$S$47)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2.6700000000000002E-2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41BC-43C4-8155-063229F43FA4}"/>
                  </c:ext>
                </c:extLst>
              </c15:ser>
            </c15:filteredBarSeries>
          </c:ext>
        </c:extLst>
      </c:barChart>
      <c:catAx>
        <c:axId val="19331637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12117279"/>
        <c:crosses val="autoZero"/>
        <c:auto val="1"/>
        <c:lblAlgn val="ctr"/>
        <c:lblOffset val="100"/>
        <c:noMultiLvlLbl val="0"/>
      </c:catAx>
      <c:valAx>
        <c:axId val="2121172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933163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Divisão de vendas Queluz</a:t>
            </a:r>
          </a:p>
        </c:rich>
      </c:tx>
      <c:layout>
        <c:manualLayout>
          <c:xMode val="edge"/>
          <c:yMode val="edge"/>
          <c:x val="0.21797258265648392"/>
          <c:y val="2.68757093670664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31620264677674925"/>
          <c:y val="0.2071990984713058"/>
          <c:w val="0.32208547686806771"/>
          <c:h val="0.68691852406635578"/>
        </c:manualLayout>
      </c:layout>
      <c:pieChart>
        <c:varyColors val="1"/>
        <c:ser>
          <c:idx val="12"/>
          <c:order val="12"/>
          <c:tx>
            <c:strRef>
              <c:f>Serviço!$O$80</c:f>
              <c:strCache>
                <c:ptCount val="1"/>
                <c:pt idx="0">
                  <c:v>YTD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A2FB-4C93-AF8C-657136A3112F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A2FB-4C93-AF8C-657136A3112F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EDA6-482E-A371-A754D2341591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Serviço!$B$81:$B$89</c15:sqref>
                  </c15:fullRef>
                </c:ext>
              </c:extLst>
              <c:f>(Serviço!$B$82,Serviço!$B$84:$B$88)</c:f>
              <c:strCache>
                <c:ptCount val="3"/>
                <c:pt idx="0">
                  <c:v>DELIVERY</c:v>
                </c:pt>
                <c:pt idx="1">
                  <c:v>SALA</c:v>
                </c:pt>
                <c:pt idx="2">
                  <c:v>MOP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Serviço!$O$81:$O$89</c15:sqref>
                  </c15:fullRef>
                </c:ext>
              </c:extLst>
              <c:f>(Serviço!$O$82,Serviço!$O$84:$O$88)</c:f>
              <c:numCache>
                <c:formatCode>_-* #\ ##0\ "€"_-;\-* #\ ##0\ "€"_-;_-* "-"??\ "€"_-;_-@_-</c:formatCode>
                <c:ptCount val="3"/>
                <c:pt idx="0">
                  <c:v>911143</c:v>
                </c:pt>
                <c:pt idx="1">
                  <c:v>877642</c:v>
                </c:pt>
                <c:pt idx="2">
                  <c:v>9100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8-A2FB-4C93-AF8C-657136A3112F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Serviço!$C$80</c15:sqref>
                        </c15:formulaRef>
                      </c:ext>
                    </c:extLst>
                    <c:strCache>
                      <c:ptCount val="1"/>
                      <c:pt idx="0">
                        <c:v>Jan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A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C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F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Serviço!$C$81:$C$89</c15:sqref>
                        </c15:fullRef>
                        <c15:formulaRef>
                          <c15:sqref>(Serviço!$C$82,Serviço!$C$84:$C$88)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84519</c:v>
                      </c:pt>
                      <c:pt idx="1">
                        <c:v>72877</c:v>
                      </c:pt>
                      <c:pt idx="2">
                        <c:v>1048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1-A2FB-4C93-AF8C-657136A3112F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Serviço!$D$80</c15:sqref>
                        </c15:formulaRef>
                      </c:ext>
                    </c:extLst>
                    <c:strCache>
                      <c:ptCount val="1"/>
                      <c:pt idx="0">
                        <c:v>Fev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5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1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Serviço!$D$81:$D$89</c15:sqref>
                        </c15:fullRef>
                        <c15:formulaRef>
                          <c15:sqref>(Serviço!$D$82,Serviço!$D$84:$D$88)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65465</c:v>
                      </c:pt>
                      <c:pt idx="1">
                        <c:v>77695</c:v>
                      </c:pt>
                      <c:pt idx="2">
                        <c:v>458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A-A2FB-4C93-AF8C-657136A3112F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Serviço!$E$80</c15:sqref>
                        </c15:formulaRef>
                      </c:ext>
                    </c:extLst>
                    <c:strCache>
                      <c:ptCount val="1"/>
                      <c:pt idx="0">
                        <c:v>Mar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E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3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Serviço!$E$81:$E$89</c15:sqref>
                        </c15:fullRef>
                        <c15:formulaRef>
                          <c15:sqref>(Serviço!$E$82,Serviço!$E$84:$E$88)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81486</c:v>
                      </c:pt>
                      <c:pt idx="1">
                        <c:v>71682</c:v>
                      </c:pt>
                      <c:pt idx="2">
                        <c:v>640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3-A2FB-4C93-AF8C-657136A3112F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Serviço!$F$80</c15:sqref>
                        </c15:formulaRef>
                      </c:ext>
                    </c:extLst>
                    <c:strCache>
                      <c:ptCount val="1"/>
                      <c:pt idx="0">
                        <c:v>Abr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7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5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Serviço!$F$81:$F$89</c15:sqref>
                        </c15:fullRef>
                        <c15:formulaRef>
                          <c15:sqref>(Serviço!$F$82,Serviço!$F$84:$F$88)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69722</c:v>
                      </c:pt>
                      <c:pt idx="1">
                        <c:v>73157</c:v>
                      </c:pt>
                      <c:pt idx="2">
                        <c:v>834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C-A2FB-4C93-AF8C-657136A3112F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Serviço!$G$80</c15:sqref>
                        </c15:formulaRef>
                      </c:ext>
                    </c:extLst>
                    <c:strCache>
                      <c:ptCount val="1"/>
                      <c:pt idx="0">
                        <c:v>Mai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0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7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Serviço!$G$81:$G$89</c15:sqref>
                        </c15:fullRef>
                        <c15:formulaRef>
                          <c15:sqref>(Serviço!$G$82,Serviço!$G$84:$G$88)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80996</c:v>
                      </c:pt>
                      <c:pt idx="1">
                        <c:v>80983</c:v>
                      </c:pt>
                      <c:pt idx="2">
                        <c:v>1043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5-A2FB-4C93-AF8C-657136A3112F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Serviço!$H$80</c15:sqref>
                        </c15:formulaRef>
                      </c:ext>
                    </c:extLst>
                    <c:strCache>
                      <c:ptCount val="1"/>
                      <c:pt idx="0">
                        <c:v>Jun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9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9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Serviço!$H$81:$H$89</c15:sqref>
                        </c15:fullRef>
                        <c15:formulaRef>
                          <c15:sqref>(Serviço!$H$82,Serviço!$H$84:$H$88)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81485</c:v>
                      </c:pt>
                      <c:pt idx="1">
                        <c:v>77609</c:v>
                      </c:pt>
                      <c:pt idx="2">
                        <c:v>790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E-A2FB-4C93-AF8C-657136A3112F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Serviço!$I$80</c15:sqref>
                        </c15:formulaRef>
                      </c:ext>
                    </c:extLst>
                    <c:strCache>
                      <c:ptCount val="1"/>
                      <c:pt idx="0">
                        <c:v>Jul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2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Serviço!$I$81:$I$89</c15:sqref>
                        </c15:fullRef>
                        <c15:formulaRef>
                          <c15:sqref>(Serviço!$I$82,Serviço!$I$84:$I$88)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81004</c:v>
                      </c:pt>
                      <c:pt idx="1">
                        <c:v>84276</c:v>
                      </c:pt>
                      <c:pt idx="2">
                        <c:v>803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Serviço!$I$89</c15:sqref>
                        <c15:spPr xmlns:c15="http://schemas.microsoft.com/office/drawing/2012/chart">
                          <a:solidFill>
                            <a:schemeClr val="accent3">
                              <a:lumMod val="60000"/>
                            </a:schemeClr>
                          </a:solidFill>
                          <a:ln>
                            <a:noFill/>
                          </a:ln>
                          <a:effectLst/>
                          <a:scene3d>
                            <a:camera prst="orthographicFront"/>
                            <a:lightRig rig="brightRoom" dir="t"/>
                          </a:scene3d>
                          <a:sp3d prstMaterial="flat">
                            <a:bevelT w="50800" h="101600" prst="angle"/>
                            <a:contourClr>
                              <a:srgbClr val="000000"/>
                            </a:contourClr>
                          </a:sp3d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47-A2FB-4C93-AF8C-657136A3112F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Serviço!$J$80</c15:sqref>
                        </c15:formulaRef>
                      </c:ext>
                    </c:extLst>
                    <c:strCache>
                      <c:ptCount val="1"/>
                      <c:pt idx="0">
                        <c:v>Ago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B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Serviço!$J$81:$J$89</c15:sqref>
                        </c15:fullRef>
                        <c15:formulaRef>
                          <c15:sqref>(Serviço!$J$82,Serviço!$J$84:$J$88)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84656</c:v>
                      </c:pt>
                      <c:pt idx="1">
                        <c:v>83878</c:v>
                      </c:pt>
                      <c:pt idx="2">
                        <c:v>999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Serviço!$J$89</c15:sqref>
                        <c15:spPr xmlns:c15="http://schemas.microsoft.com/office/drawing/2012/chart">
                          <a:solidFill>
                            <a:schemeClr val="accent3">
                              <a:lumMod val="60000"/>
                            </a:schemeClr>
                          </a:solidFill>
                          <a:ln>
                            <a:noFill/>
                          </a:ln>
                          <a:effectLst/>
                          <a:scene3d>
                            <a:camera prst="orthographicFront"/>
                            <a:lightRig rig="brightRoom" dir="t"/>
                          </a:scene3d>
                          <a:sp3d prstMaterial="flat">
                            <a:bevelT w="50800" h="101600" prst="angle"/>
                            <a:contourClr>
                              <a:srgbClr val="000000"/>
                            </a:contourClr>
                          </a:sp3d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50-A2FB-4C93-AF8C-657136A3112F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Serviço!$K$80</c15:sqref>
                        </c15:formulaRef>
                      </c:ext>
                    </c:extLst>
                    <c:strCache>
                      <c:ptCount val="1"/>
                      <c:pt idx="0">
                        <c:v>Set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4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3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Serviço!$K$81:$K$89</c15:sqref>
                        </c15:fullRef>
                        <c15:formulaRef>
                          <c15:sqref>(Serviço!$K$82,Serviço!$K$84:$K$88)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80057</c:v>
                      </c:pt>
                      <c:pt idx="1">
                        <c:v>75460</c:v>
                      </c:pt>
                      <c:pt idx="2">
                        <c:v>913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9-A2FB-4C93-AF8C-657136A3112F}"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Serviço!$L$80</c15:sqref>
                        </c15:formulaRef>
                      </c:ext>
                    </c:extLst>
                    <c:strCache>
                      <c:ptCount val="1"/>
                      <c:pt idx="0">
                        <c:v>Out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B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5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Serviço!$L$81:$L$89</c15:sqref>
                        </c15:fullRef>
                        <c15:formulaRef>
                          <c15:sqref>(Serviço!$L$82,Serviço!$L$84:$L$88)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83675</c:v>
                      </c:pt>
                      <c:pt idx="1">
                        <c:v>78005</c:v>
                      </c:pt>
                      <c:pt idx="2">
                        <c:v>597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A2FB-4C93-AF8C-657136A3112F}"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Serviço!$M$80</c15:sqref>
                        </c15:formulaRef>
                      </c:ext>
                    </c:extLst>
                    <c:strCache>
                      <c:ptCount val="1"/>
                      <c:pt idx="0">
                        <c:v>Nov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4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6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7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Serviço!$M$81:$M$89</c15:sqref>
                        </c15:fullRef>
                        <c15:formulaRef>
                          <c15:sqref>(Serviço!$M$82,Serviço!$M$84:$M$88)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87136</c:v>
                      </c:pt>
                      <c:pt idx="1">
                        <c:v>75596</c:v>
                      </c:pt>
                      <c:pt idx="2">
                        <c:v>563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B-A2FB-4C93-AF8C-657136A3112F}"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Serviço!$N$80</c15:sqref>
                        </c15:formulaRef>
                      </c:ext>
                    </c:extLst>
                    <c:strCache>
                      <c:ptCount val="1"/>
                      <c:pt idx="0">
                        <c:v>Dez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A2FB-4C93-AF8C-657136A3112F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F-A2FB-4C93-AF8C-657136A3112F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9-EDA6-482E-A371-A754D2341591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Serviço!$N$81:$N$89</c15:sqref>
                        </c15:fullRef>
                        <c15:formulaRef>
                          <c15:sqref>(Serviço!$N$82,Serviço!$N$84:$N$88)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30942</c:v>
                      </c:pt>
                      <c:pt idx="1">
                        <c:v>26424</c:v>
                      </c:pt>
                      <c:pt idx="2">
                        <c:v>412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4-A2FB-4C93-AF8C-657136A3112F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Serviço!$B$70</c:f>
              <c:strCache>
                <c:ptCount val="1"/>
                <c:pt idx="0">
                  <c:v>TOTAIS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Serviço!$C$68:$P$68</c15:sqref>
                  </c15:fullRef>
                </c:ext>
              </c:extLst>
              <c:f>Serviço!$C$68:$N$68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Serviço!$C$69:$P$69</c15:sqref>
                  </c15:fullRef>
                </c:ext>
              </c:extLst>
              <c:f>Serviço!$C$69:$N$69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622-4684-BF61-84A4F72529DC}"/>
            </c:ext>
          </c:extLst>
        </c:ser>
        <c:ser>
          <c:idx val="1"/>
          <c:order val="1"/>
          <c:tx>
            <c:strRef>
              <c:f>Serviço!$B$71</c:f>
              <c:strCache>
                <c:ptCount val="1"/>
                <c:pt idx="0">
                  <c:v>DELIVERY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Serviço!$C$68:$P$68</c15:sqref>
                  </c15:fullRef>
                </c:ext>
              </c:extLst>
              <c:f>Serviço!$C$68:$N$68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Serviço!$C$70:$P$70</c15:sqref>
                  </c15:fullRef>
                </c:ext>
              </c:extLst>
              <c:f>Serviço!$C$70:$N$70</c:f>
              <c:numCache>
                <c:formatCode>_("€"* #,##0.00_);_("€"* \(#,##0.00\);_("€"* "-"??_);_(@_)</c:formatCode>
                <c:ptCount val="12"/>
                <c:pt idx="0">
                  <c:v>288945</c:v>
                </c:pt>
                <c:pt idx="1">
                  <c:v>254163</c:v>
                </c:pt>
                <c:pt idx="2">
                  <c:v>280532</c:v>
                </c:pt>
                <c:pt idx="3">
                  <c:v>247258</c:v>
                </c:pt>
                <c:pt idx="4">
                  <c:v>251597</c:v>
                </c:pt>
                <c:pt idx="5">
                  <c:v>252397</c:v>
                </c:pt>
                <c:pt idx="6">
                  <c:v>268928</c:v>
                </c:pt>
                <c:pt idx="7">
                  <c:v>286413</c:v>
                </c:pt>
                <c:pt idx="8">
                  <c:v>246748</c:v>
                </c:pt>
                <c:pt idx="9">
                  <c:v>236241</c:v>
                </c:pt>
                <c:pt idx="10">
                  <c:v>236196</c:v>
                </c:pt>
                <c:pt idx="11">
                  <c:v>82979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622-4684-BF61-84A4F72529DC}"/>
            </c:ext>
          </c:extLst>
        </c:ser>
        <c:ser>
          <c:idx val="5"/>
          <c:order val="5"/>
          <c:tx>
            <c:strRef>
              <c:f>Serviço!$B$75</c:f>
              <c:strCache>
                <c:ptCount val="1"/>
                <c:pt idx="0">
                  <c:v>TAKE-AWAY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Serviço!$C$68:$P$68</c15:sqref>
                  </c15:fullRef>
                </c:ext>
              </c:extLst>
              <c:f>Serviço!$C$68:$N$68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Serviço!$C$74:$P$74</c15:sqref>
                  </c15:fullRef>
                </c:ext>
              </c:extLst>
              <c:f>Serviço!$C$74:$N$74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6622-4684-BF61-84A4F72529DC}"/>
            </c:ext>
          </c:extLst>
        </c:ser>
        <c:ser>
          <c:idx val="6"/>
          <c:order val="6"/>
          <c:tx>
            <c:strRef>
              <c:f>Serviço!$B$76</c:f>
              <c:strCache>
                <c:ptCount val="1"/>
                <c:pt idx="0">
                  <c:v>% TAKE-AWAY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Serviço!$C$68:$P$68</c15:sqref>
                  </c15:fullRef>
                </c:ext>
              </c:extLst>
              <c:f>Serviço!$C$68:$N$68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Serviço!$C$75:$P$75</c15:sqref>
                  </c15:fullRef>
                </c:ext>
              </c:extLst>
              <c:f>Serviço!$C$75:$N$75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6622-4684-BF61-84A4F72529DC}"/>
            </c:ext>
          </c:extLst>
        </c:ser>
        <c:ser>
          <c:idx val="7"/>
          <c:order val="7"/>
          <c:tx>
            <c:strRef>
              <c:f>Serviço!$B$77</c:f>
              <c:strCache>
                <c:ptCount val="1"/>
                <c:pt idx="0">
                  <c:v>MOP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Serviço!$C$68:$P$68</c15:sqref>
                  </c15:fullRef>
                </c:ext>
              </c:extLst>
              <c:f>Serviço!$C$68:$N$68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Serviço!$C$76:$P$76</c15:sqref>
                  </c15:fullRef>
                </c:ext>
              </c:extLst>
              <c:f>Serviço!$C$76:$N$76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6622-4684-BF61-84A4F72529D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2415"/>
        <c:axId val="37217839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Serviço!$B$72</c15:sqref>
                        </c15:formulaRef>
                      </c:ext>
                    </c:extLst>
                    <c:strCache>
                      <c:ptCount val="1"/>
                      <c:pt idx="0">
                        <c:v>% DELIVERY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Serviço!$C$68:$P$68</c15:sqref>
                        </c15:fullRef>
                        <c15:formulaRef>
                          <c15:sqref>Serviço!$C$68:$N$68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Serviço!$C$71:$P$71</c15:sqref>
                        </c15:fullRef>
                        <c15:formulaRef>
                          <c15:sqref>Serviço!$C$71:$N$71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172283</c:v>
                      </c:pt>
                      <c:pt idx="1">
                        <c:v>128204</c:v>
                      </c:pt>
                      <c:pt idx="2">
                        <c:v>157457</c:v>
                      </c:pt>
                      <c:pt idx="3">
                        <c:v>121125</c:v>
                      </c:pt>
                      <c:pt idx="4">
                        <c:v>131076</c:v>
                      </c:pt>
                      <c:pt idx="5">
                        <c:v>128943</c:v>
                      </c:pt>
                      <c:pt idx="6">
                        <c:v>126406</c:v>
                      </c:pt>
                      <c:pt idx="7">
                        <c:v>124607</c:v>
                      </c:pt>
                      <c:pt idx="8">
                        <c:v>127604</c:v>
                      </c:pt>
                      <c:pt idx="9">
                        <c:v>122774</c:v>
                      </c:pt>
                      <c:pt idx="10">
                        <c:v>129060</c:v>
                      </c:pt>
                      <c:pt idx="11">
                        <c:v>45288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6622-4684-BF61-84A4F72529DC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Serviço!$B$73</c15:sqref>
                        </c15:formulaRef>
                      </c:ext>
                    </c:extLst>
                    <c:strCache>
                      <c:ptCount val="1"/>
                      <c:pt idx="0">
                        <c:v>SALA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Serviço!$C$68:$P$68</c15:sqref>
                        </c15:fullRef>
                        <c15:formulaRef>
                          <c15:sqref>Serviço!$C$68:$N$68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Serviço!$C$72:$P$72</c15:sqref>
                        </c15:fullRef>
                        <c15:formulaRef>
                          <c15:sqref>Serviço!$C$72:$N$72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0.59624842097977127</c:v>
                      </c:pt>
                      <c:pt idx="1">
                        <c:v>0.50441645715544747</c:v>
                      </c:pt>
                      <c:pt idx="2">
                        <c:v>0.56127999657793048</c:v>
                      </c:pt>
                      <c:pt idx="3">
                        <c:v>0.48987292625516665</c:v>
                      </c:pt>
                      <c:pt idx="4">
                        <c:v>0.52097600527828236</c:v>
                      </c:pt>
                      <c:pt idx="5">
                        <c:v>0.51087374255636953</c:v>
                      </c:pt>
                      <c:pt idx="6">
                        <c:v>0.47003658971918133</c:v>
                      </c:pt>
                      <c:pt idx="7">
                        <c:v>0.43506055940198246</c:v>
                      </c:pt>
                      <c:pt idx="8">
                        <c:v>0.51714299609318004</c:v>
                      </c:pt>
                      <c:pt idx="9">
                        <c:v>0.51969810490135071</c:v>
                      </c:pt>
                      <c:pt idx="10">
                        <c:v>0.54641060813900322</c:v>
                      </c:pt>
                      <c:pt idx="11">
                        <c:v>0.54577664228298728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622-4684-BF61-84A4F72529DC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Serviço!$B$74</c15:sqref>
                        </c15:formulaRef>
                      </c:ext>
                    </c:extLst>
                    <c:strCache>
                      <c:ptCount val="1"/>
                      <c:pt idx="0">
                        <c:v>% SALA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Serviço!$C$68:$P$68</c15:sqref>
                        </c15:fullRef>
                        <c15:formulaRef>
                          <c15:sqref>Serviço!$C$68:$N$68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Serviço!$C$73:$P$73</c15:sqref>
                        </c15:fullRef>
                        <c15:formulaRef>
                          <c15:sqref>Serviço!$C$73:$N$73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116662</c:v>
                      </c:pt>
                      <c:pt idx="1">
                        <c:v>125959</c:v>
                      </c:pt>
                      <c:pt idx="2">
                        <c:v>123075</c:v>
                      </c:pt>
                      <c:pt idx="3">
                        <c:v>126133</c:v>
                      </c:pt>
                      <c:pt idx="4">
                        <c:v>120521</c:v>
                      </c:pt>
                      <c:pt idx="5">
                        <c:v>123454</c:v>
                      </c:pt>
                      <c:pt idx="6">
                        <c:v>142522</c:v>
                      </c:pt>
                      <c:pt idx="7">
                        <c:v>161806</c:v>
                      </c:pt>
                      <c:pt idx="8">
                        <c:v>119144</c:v>
                      </c:pt>
                      <c:pt idx="9">
                        <c:v>113467</c:v>
                      </c:pt>
                      <c:pt idx="10">
                        <c:v>107136</c:v>
                      </c:pt>
                      <c:pt idx="11">
                        <c:v>37691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622-4684-BF61-84A4F72529DC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Serviço!$B$78</c15:sqref>
                        </c15:formulaRef>
                      </c:ext>
                    </c:extLst>
                    <c:strCache>
                      <c:ptCount val="1"/>
                      <c:pt idx="0">
                        <c:v>% MOP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Serviço!$C$68:$P$68</c15:sqref>
                        </c15:fullRef>
                        <c15:formulaRef>
                          <c15:sqref>Serviço!$C$68:$N$68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Serviço!$C$77:$P$77</c15:sqref>
                        </c15:fullRef>
                        <c15:formulaRef>
                          <c15:sqref>Serviço!$C$77:$N$77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1090</c:v>
                      </c:pt>
                      <c:pt idx="1">
                        <c:v>631</c:v>
                      </c:pt>
                      <c:pt idx="2">
                        <c:v>1021</c:v>
                      </c:pt>
                      <c:pt idx="3">
                        <c:v>711</c:v>
                      </c:pt>
                      <c:pt idx="4">
                        <c:v>976</c:v>
                      </c:pt>
                      <c:pt idx="5">
                        <c:v>841</c:v>
                      </c:pt>
                      <c:pt idx="6">
                        <c:v>970</c:v>
                      </c:pt>
                      <c:pt idx="7">
                        <c:v>633</c:v>
                      </c:pt>
                      <c:pt idx="8">
                        <c:v>751</c:v>
                      </c:pt>
                      <c:pt idx="9">
                        <c:v>783</c:v>
                      </c:pt>
                      <c:pt idx="10">
                        <c:v>661</c:v>
                      </c:pt>
                      <c:pt idx="11">
                        <c:v>216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9553-49E5-9752-B3CB6A26F408}"/>
                  </c:ext>
                </c:extLst>
              </c15:ser>
            </c15:filteredLineSeries>
          </c:ext>
        </c:extLst>
      </c:lineChart>
      <c:catAx>
        <c:axId val="3722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217839"/>
        <c:crosses val="autoZero"/>
        <c:auto val="1"/>
        <c:lblAlgn val="ctr"/>
        <c:lblOffset val="100"/>
        <c:noMultiLvlLbl val="0"/>
      </c:catAx>
      <c:valAx>
        <c:axId val="3721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22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Serviço!$B$81</c:f>
              <c:strCache>
                <c:ptCount val="1"/>
                <c:pt idx="0">
                  <c:v>TOTAIS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Serviço!$C$79:$P$79</c15:sqref>
                  </c15:fullRef>
                </c:ext>
              </c:extLst>
              <c:f>Serviço!$C$79:$N$79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Serviço!$C$80:$P$80</c15:sqref>
                  </c15:fullRef>
                </c:ext>
              </c:extLst>
              <c:f>Serviço!$C$80:$N$80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6A7-4841-9C9C-BAB818C69A54}"/>
            </c:ext>
          </c:extLst>
        </c:ser>
        <c:ser>
          <c:idx val="1"/>
          <c:order val="1"/>
          <c:tx>
            <c:strRef>
              <c:f>Serviço!$B$82</c:f>
              <c:strCache>
                <c:ptCount val="1"/>
                <c:pt idx="0">
                  <c:v>DELIVERY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Serviço!$C$79:$P$79</c15:sqref>
                  </c15:fullRef>
                </c:ext>
              </c:extLst>
              <c:f>Serviço!$C$79:$N$79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Serviço!$C$81:$P$81</c15:sqref>
                  </c15:fullRef>
                </c:ext>
              </c:extLst>
              <c:f>Serviço!$C$81:$N$81</c:f>
              <c:numCache>
                <c:formatCode>_("€"* #,##0.00_);_("€"* \(#,##0.00\);_("€"* "-"??_);_(@_)</c:formatCode>
                <c:ptCount val="12"/>
                <c:pt idx="0">
                  <c:v>157396</c:v>
                </c:pt>
                <c:pt idx="1">
                  <c:v>143160</c:v>
                </c:pt>
                <c:pt idx="2">
                  <c:v>153168</c:v>
                </c:pt>
                <c:pt idx="3">
                  <c:v>142879</c:v>
                </c:pt>
                <c:pt idx="4">
                  <c:v>161979</c:v>
                </c:pt>
                <c:pt idx="5">
                  <c:v>159094</c:v>
                </c:pt>
                <c:pt idx="6">
                  <c:v>165280</c:v>
                </c:pt>
                <c:pt idx="7">
                  <c:v>168534</c:v>
                </c:pt>
                <c:pt idx="8">
                  <c:v>155517</c:v>
                </c:pt>
                <c:pt idx="9">
                  <c:v>161680</c:v>
                </c:pt>
                <c:pt idx="10">
                  <c:v>162732</c:v>
                </c:pt>
                <c:pt idx="11">
                  <c:v>57366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6A7-4841-9C9C-BAB818C69A54}"/>
            </c:ext>
          </c:extLst>
        </c:ser>
        <c:ser>
          <c:idx val="5"/>
          <c:order val="5"/>
          <c:tx>
            <c:strRef>
              <c:f>Serviço!$B$86</c:f>
              <c:strCache>
                <c:ptCount val="1"/>
                <c:pt idx="0">
                  <c:v>TAKE-AWAY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Serviço!$C$79:$P$79</c15:sqref>
                  </c15:fullRef>
                </c:ext>
              </c:extLst>
              <c:f>Serviço!$C$79:$N$79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Serviço!$C$85:$P$85</c15:sqref>
                  </c15:fullRef>
                </c:ext>
              </c:extLst>
              <c:f>Serviço!$C$85:$N$85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D6A7-4841-9C9C-BAB818C69A54}"/>
            </c:ext>
          </c:extLst>
        </c:ser>
        <c:ser>
          <c:idx val="6"/>
          <c:order val="6"/>
          <c:tx>
            <c:strRef>
              <c:f>Serviço!$B$87</c:f>
              <c:strCache>
                <c:ptCount val="1"/>
                <c:pt idx="0">
                  <c:v>% TAKE-AWAY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Serviço!$C$79:$P$79</c15:sqref>
                  </c15:fullRef>
                </c:ext>
              </c:extLst>
              <c:f>Serviço!$C$79:$N$79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Serviço!$C$86:$P$86</c15:sqref>
                  </c15:fullRef>
                </c:ext>
              </c:extLst>
              <c:f>Serviço!$C$86:$N$86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D6A7-4841-9C9C-BAB818C69A54}"/>
            </c:ext>
          </c:extLst>
        </c:ser>
        <c:ser>
          <c:idx val="7"/>
          <c:order val="7"/>
          <c:tx>
            <c:strRef>
              <c:f>Serviço!$B$88</c:f>
              <c:strCache>
                <c:ptCount val="1"/>
                <c:pt idx="0">
                  <c:v>MOP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Serviço!$C$79:$P$79</c15:sqref>
                  </c15:fullRef>
                </c:ext>
              </c:extLst>
              <c:f>Serviço!$C$79:$N$79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Serviço!$C$87:$P$87</c15:sqref>
                  </c15:fullRef>
                </c:ext>
              </c:extLst>
              <c:f>Serviço!$C$87:$N$87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7-D6A7-4841-9C9C-BAB818C69A5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2415"/>
        <c:axId val="37217839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Serviço!$B$83</c15:sqref>
                        </c15:formulaRef>
                      </c:ext>
                    </c:extLst>
                    <c:strCache>
                      <c:ptCount val="1"/>
                      <c:pt idx="0">
                        <c:v>% DELIVERY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Serviço!$C$79:$P$79</c15:sqref>
                        </c15:fullRef>
                        <c15:formulaRef>
                          <c15:sqref>Serviço!$C$79:$N$79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Serviço!$C$82:$P$82</c15:sqref>
                        </c15:fullRef>
                        <c15:formulaRef>
                          <c15:sqref>Serviço!$C$82:$N$82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84519</c:v>
                      </c:pt>
                      <c:pt idx="1">
                        <c:v>65465</c:v>
                      </c:pt>
                      <c:pt idx="2">
                        <c:v>81486</c:v>
                      </c:pt>
                      <c:pt idx="3">
                        <c:v>69722</c:v>
                      </c:pt>
                      <c:pt idx="4">
                        <c:v>80996</c:v>
                      </c:pt>
                      <c:pt idx="5">
                        <c:v>81485</c:v>
                      </c:pt>
                      <c:pt idx="6">
                        <c:v>81004</c:v>
                      </c:pt>
                      <c:pt idx="7">
                        <c:v>84656</c:v>
                      </c:pt>
                      <c:pt idx="8">
                        <c:v>80057</c:v>
                      </c:pt>
                      <c:pt idx="9">
                        <c:v>83675</c:v>
                      </c:pt>
                      <c:pt idx="10">
                        <c:v>87136</c:v>
                      </c:pt>
                      <c:pt idx="11">
                        <c:v>30942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D6A7-4841-9C9C-BAB818C69A5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Serviço!$B$84</c15:sqref>
                        </c15:formulaRef>
                      </c:ext>
                    </c:extLst>
                    <c:strCache>
                      <c:ptCount val="1"/>
                      <c:pt idx="0">
                        <c:v>SALA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Serviço!$C$79:$P$79</c15:sqref>
                        </c15:fullRef>
                        <c15:formulaRef>
                          <c15:sqref>Serviço!$C$79:$N$79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Serviço!$C$83:$P$83</c15:sqref>
                        </c15:fullRef>
                        <c15:formulaRef>
                          <c15:sqref>Serviço!$C$83:$N$83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0.536983150778927</c:v>
                      </c:pt>
                      <c:pt idx="1">
                        <c:v>0.45728555462419668</c:v>
                      </c:pt>
                      <c:pt idx="2">
                        <c:v>0.53200407395800686</c:v>
                      </c:pt>
                      <c:pt idx="3">
                        <c:v>0.48797933916110836</c:v>
                      </c:pt>
                      <c:pt idx="4">
                        <c:v>0.50004012865865333</c:v>
                      </c:pt>
                      <c:pt idx="5">
                        <c:v>0.51218147761700628</c:v>
                      </c:pt>
                      <c:pt idx="6">
                        <c:v>0.49010164569215875</c:v>
                      </c:pt>
                      <c:pt idx="7">
                        <c:v>0.5023081396038781</c:v>
                      </c:pt>
                      <c:pt idx="8">
                        <c:v>0.51477973469138427</c:v>
                      </c:pt>
                      <c:pt idx="9">
                        <c:v>0.51753463631865415</c:v>
                      </c:pt>
                      <c:pt idx="10">
                        <c:v>0.53545707052085634</c:v>
                      </c:pt>
                      <c:pt idx="11">
                        <c:v>0.53937872607467841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D6A7-4841-9C9C-BAB818C69A54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Serviço!$B$85</c15:sqref>
                        </c15:formulaRef>
                      </c:ext>
                    </c:extLst>
                    <c:strCache>
                      <c:ptCount val="1"/>
                      <c:pt idx="0">
                        <c:v>% SALA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Serviço!$C$79:$P$79</c15:sqref>
                        </c15:fullRef>
                        <c15:formulaRef>
                          <c15:sqref>Serviço!$C$79:$N$79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Serviço!$C$84:$P$84</c15:sqref>
                        </c15:fullRef>
                        <c15:formulaRef>
                          <c15:sqref>Serviço!$C$84:$N$84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72877</c:v>
                      </c:pt>
                      <c:pt idx="1">
                        <c:v>77695</c:v>
                      </c:pt>
                      <c:pt idx="2">
                        <c:v>71682</c:v>
                      </c:pt>
                      <c:pt idx="3">
                        <c:v>73157</c:v>
                      </c:pt>
                      <c:pt idx="4">
                        <c:v>80983</c:v>
                      </c:pt>
                      <c:pt idx="5">
                        <c:v>77609</c:v>
                      </c:pt>
                      <c:pt idx="6">
                        <c:v>84276</c:v>
                      </c:pt>
                      <c:pt idx="7">
                        <c:v>83878</c:v>
                      </c:pt>
                      <c:pt idx="8">
                        <c:v>75460</c:v>
                      </c:pt>
                      <c:pt idx="9">
                        <c:v>78005</c:v>
                      </c:pt>
                      <c:pt idx="10">
                        <c:v>75596</c:v>
                      </c:pt>
                      <c:pt idx="11">
                        <c:v>26424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D6A7-4841-9C9C-BAB818C69A54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Serviço!$B$89</c15:sqref>
                        </c15:formulaRef>
                      </c:ext>
                    </c:extLst>
                    <c:strCache>
                      <c:ptCount val="1"/>
                      <c:pt idx="0">
                        <c:v>% MOP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Serviço!$C$79:$P$79</c15:sqref>
                        </c15:fullRef>
                        <c15:formulaRef>
                          <c15:sqref>Serviço!$C$79:$N$79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Serviço!$C$88:$P$88</c15:sqref>
                        </c15:fullRef>
                        <c15:formulaRef>
                          <c15:sqref>Serviço!$C$88:$N$88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1048</c:v>
                      </c:pt>
                      <c:pt idx="1">
                        <c:v>458</c:v>
                      </c:pt>
                      <c:pt idx="2">
                        <c:v>640</c:v>
                      </c:pt>
                      <c:pt idx="3">
                        <c:v>834</c:v>
                      </c:pt>
                      <c:pt idx="4">
                        <c:v>1043</c:v>
                      </c:pt>
                      <c:pt idx="5">
                        <c:v>790</c:v>
                      </c:pt>
                      <c:pt idx="6">
                        <c:v>803</c:v>
                      </c:pt>
                      <c:pt idx="7">
                        <c:v>999</c:v>
                      </c:pt>
                      <c:pt idx="8">
                        <c:v>913</c:v>
                      </c:pt>
                      <c:pt idx="9">
                        <c:v>597</c:v>
                      </c:pt>
                      <c:pt idx="10">
                        <c:v>563</c:v>
                      </c:pt>
                      <c:pt idx="11">
                        <c:v>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CF9-441F-8716-90C7D4128A7D}"/>
                  </c:ext>
                </c:extLst>
              </c15:ser>
            </c15:filteredLineSeries>
          </c:ext>
        </c:extLst>
      </c:lineChart>
      <c:catAx>
        <c:axId val="3722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217839"/>
        <c:crosses val="autoZero"/>
        <c:auto val="1"/>
        <c:lblAlgn val="ctr"/>
        <c:lblOffset val="100"/>
        <c:noMultiLvlLbl val="0"/>
      </c:catAx>
      <c:valAx>
        <c:axId val="3721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22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Divisão de vendas Amadora</a:t>
            </a:r>
          </a:p>
        </c:rich>
      </c:tx>
      <c:layout>
        <c:manualLayout>
          <c:xMode val="edge"/>
          <c:yMode val="edge"/>
          <c:x val="0.21797258265648392"/>
          <c:y val="2.68757093670664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12"/>
          <c:order val="12"/>
          <c:tx>
            <c:strRef>
              <c:f>Serviço!$O$69</c:f>
              <c:strCache>
                <c:ptCount val="1"/>
                <c:pt idx="0">
                  <c:v>YTD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92F6-45EC-9349-7052F69208B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92F6-45EC-9349-7052F69208B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2D3F-4FC0-8076-77CE8B97C799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Serviço!$B$70:$B$78</c15:sqref>
                  </c15:fullRef>
                </c:ext>
              </c:extLst>
              <c:f>(Serviço!$B$71,Serviço!$B$73:$B$77)</c:f>
              <c:strCache>
                <c:ptCount val="3"/>
                <c:pt idx="0">
                  <c:v>DELIVERY</c:v>
                </c:pt>
                <c:pt idx="1">
                  <c:v>SALA</c:v>
                </c:pt>
                <c:pt idx="2">
                  <c:v>MOP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Serviço!$O$70:$O$78</c15:sqref>
                  </c15:fullRef>
                </c:ext>
              </c:extLst>
              <c:f>(Serviço!$O$71,Serviço!$O$73:$O$77)</c:f>
              <c:numCache>
                <c:formatCode>_-* #\ ##0\ "€"_-;\-* #\ ##0\ "€"_-;_-* "-"??\ "€"_-;_-@_-</c:formatCode>
                <c:ptCount val="3"/>
                <c:pt idx="0">
                  <c:v>1514827</c:v>
                </c:pt>
                <c:pt idx="1">
                  <c:v>1417570</c:v>
                </c:pt>
                <c:pt idx="2">
                  <c:v>9284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8-92F6-45EC-9349-7052F69208B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Serviço!$C$69</c15:sqref>
                        </c15:formulaRef>
                      </c:ext>
                    </c:extLst>
                    <c:strCache>
                      <c:ptCount val="1"/>
                      <c:pt idx="0">
                        <c:v>Jan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A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C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F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Serviço!$C$70:$C$78</c15:sqref>
                        </c15:fullRef>
                        <c15:formulaRef>
                          <c15:sqref>(Serviço!$C$71,Serviço!$C$73:$C$77)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172283</c:v>
                      </c:pt>
                      <c:pt idx="1">
                        <c:v>116662</c:v>
                      </c:pt>
                      <c:pt idx="2">
                        <c:v>1090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1-92F6-45EC-9349-7052F69208B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Serviço!$D$69</c15:sqref>
                        </c15:formulaRef>
                      </c:ext>
                    </c:extLst>
                    <c:strCache>
                      <c:ptCount val="1"/>
                      <c:pt idx="0">
                        <c:v>Fev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3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5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1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Serviço!$D$70:$D$78</c15:sqref>
                        </c15:fullRef>
                        <c15:formulaRef>
                          <c15:sqref>(Serviço!$D$71,Serviço!$D$73:$D$77)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128204</c:v>
                      </c:pt>
                      <c:pt idx="1">
                        <c:v>125959</c:v>
                      </c:pt>
                      <c:pt idx="2">
                        <c:v>631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A-92F6-45EC-9349-7052F69208B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Serviço!$E$69</c15:sqref>
                        </c15:formulaRef>
                      </c:ext>
                    </c:extLst>
                    <c:strCache>
                      <c:ptCount val="1"/>
                      <c:pt idx="0">
                        <c:v>Mar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C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E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3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Serviço!$E$70:$E$78</c15:sqref>
                        </c15:fullRef>
                        <c15:formulaRef>
                          <c15:sqref>(Serviço!$E$71,Serviço!$E$73:$E$77)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157457</c:v>
                      </c:pt>
                      <c:pt idx="1">
                        <c:v>123075</c:v>
                      </c:pt>
                      <c:pt idx="2">
                        <c:v>1021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3-92F6-45EC-9349-7052F69208B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Serviço!$F$69</c15:sqref>
                        </c15:formulaRef>
                      </c:ext>
                    </c:extLst>
                    <c:strCache>
                      <c:ptCount val="1"/>
                      <c:pt idx="0">
                        <c:v>Abr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5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7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5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Serviço!$F$70:$F$78</c15:sqref>
                        </c15:fullRef>
                        <c15:formulaRef>
                          <c15:sqref>(Serviço!$F$71,Serviço!$F$73:$F$77)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121125</c:v>
                      </c:pt>
                      <c:pt idx="1">
                        <c:v>126133</c:v>
                      </c:pt>
                      <c:pt idx="2">
                        <c:v>711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C-92F6-45EC-9349-7052F69208B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Serviço!$G$69</c15:sqref>
                        </c15:formulaRef>
                      </c:ext>
                    </c:extLst>
                    <c:strCache>
                      <c:ptCount val="1"/>
                      <c:pt idx="0">
                        <c:v>Mai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E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0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7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Serviço!$G$70:$G$78</c15:sqref>
                        </c15:fullRef>
                        <c15:formulaRef>
                          <c15:sqref>(Serviço!$G$71,Serviço!$G$73:$G$77)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131076</c:v>
                      </c:pt>
                      <c:pt idx="1">
                        <c:v>120521</c:v>
                      </c:pt>
                      <c:pt idx="2">
                        <c:v>976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5-92F6-45EC-9349-7052F69208BC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Serviço!$H$69</c15:sqref>
                        </c15:formulaRef>
                      </c:ext>
                    </c:extLst>
                    <c:strCache>
                      <c:ptCount val="1"/>
                      <c:pt idx="0">
                        <c:v>Jun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7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9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9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Serviço!$H$70:$H$78</c15:sqref>
                        </c15:fullRef>
                        <c15:formulaRef>
                          <c15:sqref>(Serviço!$H$71,Serviço!$H$73:$H$77)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128943</c:v>
                      </c:pt>
                      <c:pt idx="1">
                        <c:v>123454</c:v>
                      </c:pt>
                      <c:pt idx="2">
                        <c:v>841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E-92F6-45EC-9349-7052F69208BC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Serviço!$I$69</c15:sqref>
                        </c15:formulaRef>
                      </c:ext>
                    </c:extLst>
                    <c:strCache>
                      <c:ptCount val="1"/>
                      <c:pt idx="0">
                        <c:v>Jul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2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Serviço!$I$70:$I$78</c15:sqref>
                        </c15:fullRef>
                        <c15:formulaRef>
                          <c15:sqref>(Serviço!$I$71,Serviço!$I$73:$I$77)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126406</c:v>
                      </c:pt>
                      <c:pt idx="1">
                        <c:v>142522</c:v>
                      </c:pt>
                      <c:pt idx="2">
                        <c:v>970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7-92F6-45EC-9349-7052F69208BC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Serviço!$J$69</c15:sqref>
                        </c15:formulaRef>
                      </c:ext>
                    </c:extLst>
                    <c:strCache>
                      <c:ptCount val="1"/>
                      <c:pt idx="0">
                        <c:v>Ago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9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B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Serviço!$J$70:$J$78</c15:sqref>
                        </c15:fullRef>
                        <c15:formulaRef>
                          <c15:sqref>(Serviço!$J$71,Serviço!$J$73:$J$77)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124607</c:v>
                      </c:pt>
                      <c:pt idx="1">
                        <c:v>161806</c:v>
                      </c:pt>
                      <c:pt idx="2">
                        <c:v>633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0-92F6-45EC-9349-7052F69208BC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Serviço!$K$69</c15:sqref>
                        </c15:formulaRef>
                      </c:ext>
                    </c:extLst>
                    <c:strCache>
                      <c:ptCount val="1"/>
                      <c:pt idx="0">
                        <c:v>Set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2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4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Serviço!$K$70:$K$78</c15:sqref>
                        </c15:fullRef>
                        <c15:formulaRef>
                          <c15:sqref>(Serviço!$K$71,Serviço!$K$73:$K$77)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127604</c:v>
                      </c:pt>
                      <c:pt idx="1">
                        <c:v>119144</c:v>
                      </c:pt>
                      <c:pt idx="2">
                        <c:v>751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9-92F6-45EC-9349-7052F69208BC}"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Serviço!$L$69</c15:sqref>
                        </c15:formulaRef>
                      </c:ext>
                    </c:extLst>
                    <c:strCache>
                      <c:ptCount val="1"/>
                      <c:pt idx="0">
                        <c:v>Out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B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Serviço!$L$70:$L$78</c15:sqref>
                        </c15:fullRef>
                        <c15:formulaRef>
                          <c15:sqref>(Serviço!$L$71,Serviço!$L$73:$L$77)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122774</c:v>
                      </c:pt>
                      <c:pt idx="1">
                        <c:v>113467</c:v>
                      </c:pt>
                      <c:pt idx="2">
                        <c:v>783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2-92F6-45EC-9349-7052F69208BC}"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Serviço!$M$69</c15:sqref>
                        </c15:formulaRef>
                      </c:ext>
                    </c:extLst>
                    <c:strCache>
                      <c:ptCount val="1"/>
                      <c:pt idx="0">
                        <c:v>Nov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4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6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3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Serviço!$M$70:$M$78</c15:sqref>
                        </c15:fullRef>
                        <c15:formulaRef>
                          <c15:sqref>(Serviço!$M$71,Serviço!$M$73:$M$77)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129060</c:v>
                      </c:pt>
                      <c:pt idx="1">
                        <c:v>107136</c:v>
                      </c:pt>
                      <c:pt idx="2">
                        <c:v>661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6B-92F6-45EC-9349-7052F69208BC}"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Serviço!$N$69</c15:sqref>
                        </c15:formulaRef>
                      </c:ext>
                    </c:extLst>
                    <c:strCache>
                      <c:ptCount val="1"/>
                      <c:pt idx="0">
                        <c:v>Dez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6D-92F6-45EC-9349-7052F69208B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F-92F6-45EC-9349-7052F69208B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5-2D3F-4FC0-8076-77CE8B97C799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Serviço!$N$70:$N$78</c15:sqref>
                        </c15:fullRef>
                        <c15:formulaRef>
                          <c15:sqref>(Serviço!$N$71,Serviço!$N$73:$N$77)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45288</c:v>
                      </c:pt>
                      <c:pt idx="1">
                        <c:v>37691</c:v>
                      </c:pt>
                      <c:pt idx="2">
                        <c:v>216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74-92F6-45EC-9349-7052F69208B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15049733746911E-2"/>
          <c:y val="8.1509891908672694E-2"/>
          <c:w val="0.8966272965879265"/>
          <c:h val="0.77174431321084869"/>
        </c:manualLayout>
      </c:layout>
      <c:lineChart>
        <c:grouping val="standard"/>
        <c:varyColors val="0"/>
        <c:ser>
          <c:idx val="1"/>
          <c:order val="1"/>
          <c:tx>
            <c:strRef>
              <c:f>Serviço!$B$58</c:f>
              <c:strCache>
                <c:ptCount val="1"/>
                <c:pt idx="0">
                  <c:v>TEMPOS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2"/>
              </a:solidFill>
              <a:round/>
            </a:ln>
            <a:effectLst/>
          </c:spPr>
          <c:marker>
            <c:symbol val="square"/>
            <c:size val="6"/>
            <c:spPr>
              <a:solidFill>
                <a:schemeClr val="accent2"/>
              </a:solidFill>
              <a:ln w="9525">
                <a:solidFill>
                  <a:schemeClr val="accent2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Serviço!$C$55:$O$55</c15:sqref>
                  </c15:fullRef>
                </c:ext>
              </c:extLst>
              <c:f>Serviço!$C$55:$K$55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Serviço!$C$57:$O$57</c15:sqref>
                  </c15:fullRef>
                </c:ext>
              </c:extLst>
              <c:f>Serviço!$C$57:$K$57</c:f>
              <c:numCache>
                <c:formatCode>General</c:formatCode>
                <c:ptCount val="9"/>
                <c:pt idx="0">
                  <c:v>4.0999999999999996</c:v>
                </c:pt>
                <c:pt idx="1">
                  <c:v>4</c:v>
                </c:pt>
                <c:pt idx="2">
                  <c:v>4.0999999999999996</c:v>
                </c:pt>
                <c:pt idx="3">
                  <c:v>4.3</c:v>
                </c:pt>
                <c:pt idx="4">
                  <c:v>4.3</c:v>
                </c:pt>
                <c:pt idx="5">
                  <c:v>4.3</c:v>
                </c:pt>
                <c:pt idx="6">
                  <c:v>4.0999999999999996</c:v>
                </c:pt>
                <c:pt idx="7">
                  <c:v>4.0999999999999996</c:v>
                </c:pt>
                <c:pt idx="8">
                  <c:v>4.2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4058-4F47-9B72-3DE8CDF001D9}"/>
            </c:ext>
          </c:extLst>
        </c:ser>
        <c:ser>
          <c:idx val="5"/>
          <c:order val="5"/>
          <c:tx>
            <c:strRef>
              <c:f>Serviço!$B$63</c:f>
              <c:strCache>
                <c:ptCount val="1"/>
                <c:pt idx="0">
                  <c:v>TEMPOS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Serviço!$C$55:$O$55</c15:sqref>
                  </c15:fullRef>
                </c:ext>
              </c:extLst>
              <c:f>Serviço!$C$55:$K$55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Serviço!$C$62:$O$62</c15:sqref>
                  </c15:fullRef>
                </c:ext>
              </c:extLst>
              <c:f>Serviço!$C$62:$K$62</c:f>
              <c:numCache>
                <c:formatCode>General</c:formatCode>
                <c:ptCount val="9"/>
                <c:pt idx="0">
                  <c:v>4.0999999999999996</c:v>
                </c:pt>
                <c:pt idx="1">
                  <c:v>3.9</c:v>
                </c:pt>
                <c:pt idx="2">
                  <c:v>4</c:v>
                </c:pt>
                <c:pt idx="3">
                  <c:v>4.3</c:v>
                </c:pt>
                <c:pt idx="4">
                  <c:v>4.2</c:v>
                </c:pt>
                <c:pt idx="5">
                  <c:v>4.3</c:v>
                </c:pt>
                <c:pt idx="6">
                  <c:v>3.9</c:v>
                </c:pt>
                <c:pt idx="7">
                  <c:v>4.0999999999999996</c:v>
                </c:pt>
                <c:pt idx="8">
                  <c:v>4.2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4058-4F47-9B72-3DE8CDF001D9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7324751"/>
        <c:axId val="77732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Serviço!$B$57</c15:sqref>
                        </c15:formulaRef>
                      </c:ext>
                    </c:extLst>
                    <c:strCache>
                      <c:ptCount val="1"/>
                      <c:pt idx="0">
                        <c:v>ESTRELAS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Serviço!$C$55:$K$55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Serviço!$C$56:$O$56</c15:sqref>
                        </c15:fullRef>
                        <c15:formulaRef>
                          <c15:sqref>Serviço!$C$56:$K$56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4058-4F47-9B72-3DE8CDF001D9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Serviço!$B$59</c15:sqref>
                        </c15:formulaRef>
                      </c:ext>
                    </c:extLst>
                    <c:strCache>
                      <c:ptCount val="1"/>
                      <c:pt idx="0">
                        <c:v>INEXATIDÃO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Serviço!$C$55:$K$55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Serviço!$C$58:$O$58</c15:sqref>
                        </c15:fullRef>
                        <c15:formulaRef>
                          <c15:sqref>Serviço!$C$58:$K$58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5.8</c:v>
                      </c:pt>
                      <c:pt idx="1">
                        <c:v>5</c:v>
                      </c:pt>
                      <c:pt idx="2">
                        <c:v>4.7</c:v>
                      </c:pt>
                      <c:pt idx="3">
                        <c:v>5.3</c:v>
                      </c:pt>
                      <c:pt idx="4">
                        <c:v>4.5</c:v>
                      </c:pt>
                      <c:pt idx="5">
                        <c:v>4.8</c:v>
                      </c:pt>
                      <c:pt idx="6">
                        <c:v>5.2</c:v>
                      </c:pt>
                      <c:pt idx="7">
                        <c:v>5.7</c:v>
                      </c:pt>
                      <c:pt idx="8">
                        <c:v>5.4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4058-4F47-9B72-3DE8CDF001D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Serviço!$B$61</c15:sqref>
                        </c15:formulaRef>
                      </c:ext>
                    </c:extLst>
                    <c:strCache>
                      <c:ptCount val="1"/>
                      <c:pt idx="0">
                        <c:v>TEMPO 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Serviço!$C$55:$K$55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Serviço!$C$60:$O$60</c15:sqref>
                        </c15:fullRef>
                        <c15:formulaRef>
                          <c15:sqref>Serviço!$C$60:$K$60</c15:sqref>
                        </c15:formulaRef>
                      </c:ext>
                    </c:extLst>
                    <c:numCache>
                      <c:formatCode>0%</c:formatCode>
                      <c:ptCount val="9"/>
                      <c:pt idx="2">
                        <c:v>0.79</c:v>
                      </c:pt>
                      <c:pt idx="3">
                        <c:v>0.8</c:v>
                      </c:pt>
                      <c:pt idx="4">
                        <c:v>0.8</c:v>
                      </c:pt>
                      <c:pt idx="5">
                        <c:v>0.81</c:v>
                      </c:pt>
                      <c:pt idx="6">
                        <c:v>0.81</c:v>
                      </c:pt>
                      <c:pt idx="7">
                        <c:v>0.79</c:v>
                      </c:pt>
                      <c:pt idx="8">
                        <c:v>0.78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4058-4F47-9B72-3DE8CDF001D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Serviço!$B$62</c15:sqref>
                        </c15:formulaRef>
                      </c:ext>
                    </c:extLst>
                    <c:strCache>
                      <c:ptCount val="1"/>
                      <c:pt idx="0">
                        <c:v>ESTRELAS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Serviço!$C$55:$K$55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Serviço!$C$61:$O$61</c15:sqref>
                        </c15:fullRef>
                        <c15:formulaRef>
                          <c15:sqref>Serviço!$C$61:$K$61</c15:sqref>
                        </c15:formulaRef>
                      </c:ext>
                    </c:extLst>
                    <c:numCache>
                      <c:formatCode>0.0</c:formatCode>
                      <c:ptCount val="9"/>
                      <c:pt idx="0">
                        <c:v>19.600000000000001</c:v>
                      </c:pt>
                      <c:pt idx="1">
                        <c:v>19.2</c:v>
                      </c:pt>
                      <c:pt idx="2">
                        <c:v>19.3</c:v>
                      </c:pt>
                      <c:pt idx="3">
                        <c:v>19.5</c:v>
                      </c:pt>
                      <c:pt idx="4">
                        <c:v>16.399999999999999</c:v>
                      </c:pt>
                      <c:pt idx="5">
                        <c:v>17.5</c:v>
                      </c:pt>
                      <c:pt idx="6">
                        <c:v>18.5</c:v>
                      </c:pt>
                      <c:pt idx="7">
                        <c:v>18.600000000000001</c:v>
                      </c:pt>
                      <c:pt idx="8">
                        <c:v>17.5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4058-4F47-9B72-3DE8CDF001D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Serviço!$B$64</c15:sqref>
                        </c15:formulaRef>
                      </c:ext>
                    </c:extLst>
                    <c:strCache>
                      <c:ptCount val="1"/>
                      <c:pt idx="0">
                        <c:v>INEXATIDÃO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Serviço!$C$55:$K$55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Serviço!$C$63:$O$63</c15:sqref>
                        </c15:fullRef>
                        <c15:formulaRef>
                          <c15:sqref>Serviço!$C$63:$K$63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5</c:v>
                      </c:pt>
                      <c:pt idx="1">
                        <c:v>5</c:v>
                      </c:pt>
                      <c:pt idx="2">
                        <c:v>5.2</c:v>
                      </c:pt>
                      <c:pt idx="3">
                        <c:v>5.3</c:v>
                      </c:pt>
                      <c:pt idx="4">
                        <c:v>5.2</c:v>
                      </c:pt>
                      <c:pt idx="5">
                        <c:v>5.6</c:v>
                      </c:pt>
                      <c:pt idx="6">
                        <c:v>6.5</c:v>
                      </c:pt>
                      <c:pt idx="7">
                        <c:v>6</c:v>
                      </c:pt>
                      <c:pt idx="8">
                        <c:v>5.6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4058-4F47-9B72-3DE8CDF001D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Serviço!$B$66</c15:sqref>
                        </c15:formulaRef>
                      </c:ext>
                    </c:extLst>
                    <c:strCache>
                      <c:ptCount val="1"/>
                      <c:pt idx="0">
                        <c:v>TEMPO 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dot"/>
                  <c:size val="6"/>
                  <c:spPr>
                    <a:solidFill>
                      <a:schemeClr val="accent2">
                        <a:lumMod val="60000"/>
                      </a:schemeClr>
                    </a:solidFill>
                    <a:ln w="9525">
                      <a:solidFill>
                        <a:schemeClr val="accent2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Serviço!$C$55:$K$55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Serviço!$C$65:$O$65</c15:sqref>
                        </c15:fullRef>
                        <c15:formulaRef>
                          <c15:sqref>Serviço!$C$65:$K$65</c15:sqref>
                        </c15:formulaRef>
                      </c:ext>
                    </c:extLst>
                    <c:numCache>
                      <c:formatCode>0%</c:formatCode>
                      <c:ptCount val="9"/>
                      <c:pt idx="2">
                        <c:v>0.73</c:v>
                      </c:pt>
                      <c:pt idx="3">
                        <c:v>0.73</c:v>
                      </c:pt>
                      <c:pt idx="4">
                        <c:v>0.75</c:v>
                      </c:pt>
                      <c:pt idx="5">
                        <c:v>0.77</c:v>
                      </c:pt>
                      <c:pt idx="6">
                        <c:v>0.78</c:v>
                      </c:pt>
                      <c:pt idx="7">
                        <c:v>0.75</c:v>
                      </c:pt>
                      <c:pt idx="8">
                        <c:v>0.77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4058-4F47-9B72-3DE8CDF001D9}"/>
                  </c:ext>
                </c:extLst>
              </c15:ser>
            </c15:filteredLineSeries>
          </c:ext>
        </c:extLst>
      </c:lineChart>
      <c:catAx>
        <c:axId val="7773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77325167"/>
        <c:crosses val="autoZero"/>
        <c:auto val="1"/>
        <c:lblAlgn val="ctr"/>
        <c:lblOffset val="100"/>
        <c:noMultiLvlLbl val="0"/>
      </c:catAx>
      <c:valAx>
        <c:axId val="77732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7732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Serviço!$M$7</c:f>
              <c:strCache>
                <c:ptCount val="1"/>
                <c:pt idx="0">
                  <c:v>R2P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Serviço!$N$5:$AB$6</c15:sqref>
                  </c15:fullRef>
                </c:ext>
              </c:extLst>
              <c:f>Serviço!$O$5:$AB$6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Serviço!$N$7:$AB$7</c15:sqref>
                  </c15:fullRef>
                </c:ext>
              </c:extLst>
              <c:f>Serviço!$O$7:$Z$7</c:f>
              <c:numCache>
                <c:formatCode>General</c:formatCode>
                <c:ptCount val="12"/>
                <c:pt idx="0">
                  <c:v>116</c:v>
                </c:pt>
                <c:pt idx="1">
                  <c:v>115</c:v>
                </c:pt>
                <c:pt idx="2">
                  <c:v>122</c:v>
                </c:pt>
                <c:pt idx="3">
                  <c:v>128</c:v>
                </c:pt>
                <c:pt idx="4">
                  <c:v>132</c:v>
                </c:pt>
                <c:pt idx="5">
                  <c:v>134</c:v>
                </c:pt>
                <c:pt idx="6">
                  <c:v>151</c:v>
                </c:pt>
                <c:pt idx="7">
                  <c:v>158</c:v>
                </c:pt>
                <c:pt idx="8">
                  <c:v>133</c:v>
                </c:pt>
                <c:pt idx="9">
                  <c:v>152</c:v>
                </c:pt>
                <c:pt idx="10">
                  <c:v>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ADB-49A8-BF36-AA65500E5C76}"/>
            </c:ext>
          </c:extLst>
        </c:ser>
        <c:ser>
          <c:idx val="1"/>
          <c:order val="1"/>
          <c:tx>
            <c:strRef>
              <c:f>Serviço!$M$8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extLst>
                <c:ext xmlns:c15="http://schemas.microsoft.com/office/drawing/2012/chart" uri="{02D57815-91ED-43cb-92C2-25804820EDAC}">
                  <c15:fullRef>
                    <c15:sqref>Serviço!$N$5:$AB$6</c15:sqref>
                  </c15:fullRef>
                </c:ext>
              </c:extLst>
              <c:f>Serviço!$O$5:$AB$6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Serviço!$N$8:$AB$8</c15:sqref>
                  </c15:fullRef>
                </c:ext>
              </c:extLst>
              <c:f>Serviço!$O$8:$Z$8</c:f>
              <c:numCache>
                <c:formatCode>General</c:formatCode>
                <c:ptCount val="12"/>
                <c:pt idx="0">
                  <c:v>100</c:v>
                </c:pt>
                <c:pt idx="1">
                  <c:v>102</c:v>
                </c:pt>
                <c:pt idx="2">
                  <c:v>101</c:v>
                </c:pt>
                <c:pt idx="3">
                  <c:v>101</c:v>
                </c:pt>
                <c:pt idx="4">
                  <c:v>101</c:v>
                </c:pt>
                <c:pt idx="5">
                  <c:v>107</c:v>
                </c:pt>
                <c:pt idx="6">
                  <c:v>135</c:v>
                </c:pt>
                <c:pt idx="7">
                  <c:v>113</c:v>
                </c:pt>
                <c:pt idx="8">
                  <c:v>99</c:v>
                </c:pt>
                <c:pt idx="9">
                  <c:v>104</c:v>
                </c:pt>
                <c:pt idx="10">
                  <c:v>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ADB-49A8-BF36-AA65500E5C76}"/>
            </c:ext>
          </c:extLst>
        </c:ser>
        <c:ser>
          <c:idx val="2"/>
          <c:order val="2"/>
          <c:tx>
            <c:strRef>
              <c:f>Serviço!$M$9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Serviço!$N$5:$AB$6</c15:sqref>
                  </c15:fullRef>
                </c:ext>
              </c:extLst>
              <c:f>Serviço!$O$5:$AB$6</c:f>
              <c:strCache>
                <c:ptCount val="12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Serviço!$N$9:$AB$9</c15:sqref>
                  </c15:fullRef>
                </c:ext>
              </c:extLst>
              <c:f>Serviço!$O$9:$Z$9</c:f>
              <c:numCache>
                <c:formatCode>General</c:formatCode>
                <c:ptCount val="12"/>
                <c:pt idx="0">
                  <c:v>110</c:v>
                </c:pt>
                <c:pt idx="1">
                  <c:v>110</c:v>
                </c:pt>
                <c:pt idx="2">
                  <c:v>114</c:v>
                </c:pt>
                <c:pt idx="3">
                  <c:v>117</c:v>
                </c:pt>
                <c:pt idx="4">
                  <c:v>119</c:v>
                </c:pt>
                <c:pt idx="5">
                  <c:v>123</c:v>
                </c:pt>
                <c:pt idx="6">
                  <c:v>145</c:v>
                </c:pt>
                <c:pt idx="7">
                  <c:v>143</c:v>
                </c:pt>
                <c:pt idx="8">
                  <c:v>125</c:v>
                </c:pt>
                <c:pt idx="9">
                  <c:v>131</c:v>
                </c:pt>
                <c:pt idx="10">
                  <c:v>126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DADB-49A8-BF36-AA65500E5C7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003823"/>
        <c:axId val="559003407"/>
        <c:extLst>
          <c:ext xmlns:c15="http://schemas.microsoft.com/office/drawing/2012/chart" uri="{02D57815-91ED-43cb-92C2-25804820EDAC}">
            <c15:filteredBarSeries>
              <c15:ser>
                <c:idx val="3"/>
                <c:order val="3"/>
                <c:tx>
                  <c:strRef>
                    <c:extLst>
                      <c:ext uri="{02D57815-91ED-43cb-92C2-25804820EDAC}">
                        <c15:formulaRef>
                          <c15:sqref>Serviço!$M$10</c15:sqref>
                        </c15:formulaRef>
                      </c:ext>
                    </c:extLst>
                    <c:strCache>
                      <c:ptCount val="1"/>
                      <c:pt idx="0">
                        <c:v>Delivery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Serviço!$N$5:$AB$6</c15:sqref>
                        </c15:fullRef>
                        <c15:formulaRef>
                          <c15:sqref>Serviço!$O$5:$AB$6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Serviço!$N$10:$AB$10</c15:sqref>
                        </c15:fullRef>
                        <c15:formulaRef>
                          <c15:sqref>Serviço!$O$10:$Z$10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19.600000000000001</c:v>
                      </c:pt>
                      <c:pt idx="1">
                        <c:v>19.3</c:v>
                      </c:pt>
                      <c:pt idx="2">
                        <c:v>19.7</c:v>
                      </c:pt>
                      <c:pt idx="3">
                        <c:v>18.399999999999999</c:v>
                      </c:pt>
                      <c:pt idx="4">
                        <c:v>16.7</c:v>
                      </c:pt>
                      <c:pt idx="5">
                        <c:v>18.5</c:v>
                      </c:pt>
                      <c:pt idx="6">
                        <c:v>18.600000000000001</c:v>
                      </c:pt>
                      <c:pt idx="7">
                        <c:v>18.2</c:v>
                      </c:pt>
                      <c:pt idx="8">
                        <c:v>17.7</c:v>
                      </c:pt>
                      <c:pt idx="9">
                        <c:v>19.3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2-A4AA-43CD-9C39-AC2329FA2D8E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Serviço!$M$11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Serviço!$N$5:$AB$6</c15:sqref>
                        </c15:fullRef>
                        <c15:formulaRef>
                          <c15:sqref>Serviço!$O$5:$AB$6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Serviço!$N$11:$AB$11</c15:sqref>
                        </c15:fullRef>
                        <c15:formulaRef>
                          <c15:sqref>Serviço!$O$11:$Z$11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18.600000000000001</c:v>
                      </c:pt>
                      <c:pt idx="1">
                        <c:v>18.8</c:v>
                      </c:pt>
                      <c:pt idx="2">
                        <c:v>19.7</c:v>
                      </c:pt>
                      <c:pt idx="3">
                        <c:v>18.8</c:v>
                      </c:pt>
                      <c:pt idx="4">
                        <c:v>17.600000000000001</c:v>
                      </c:pt>
                      <c:pt idx="5">
                        <c:v>19.2</c:v>
                      </c:pt>
                      <c:pt idx="6">
                        <c:v>21.2</c:v>
                      </c:pt>
                      <c:pt idx="7">
                        <c:v>18.899999999999999</c:v>
                      </c:pt>
                      <c:pt idx="8">
                        <c:v>17.8</c:v>
                      </c:pt>
                      <c:pt idx="9">
                        <c:v>19.3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A4AA-43CD-9C39-AC2329FA2D8E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Serviço!$M$12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Serviço!$N$5:$AB$6</c15:sqref>
                        </c15:fullRef>
                        <c15:formulaRef>
                          <c15:sqref>Serviço!$O$5:$AB$6</c15:sqref>
                        </c15:formulaRef>
                      </c:ext>
                    </c:extLst>
                    <c:strCache>
                      <c:ptCount val="12"/>
                      <c:pt idx="0">
                        <c:v>Jan</c:v>
                      </c:pt>
                      <c:pt idx="1">
                        <c:v>fev</c:v>
                      </c:pt>
                      <c:pt idx="2">
                        <c:v>mar</c:v>
                      </c:pt>
                      <c:pt idx="3">
                        <c:v>Abr</c:v>
                      </c:pt>
                      <c:pt idx="4">
                        <c:v>Mai</c:v>
                      </c:pt>
                      <c:pt idx="5">
                        <c:v>Jun</c:v>
                      </c:pt>
                      <c:pt idx="6">
                        <c:v>Jul</c:v>
                      </c:pt>
                      <c:pt idx="7">
                        <c:v>Ago</c:v>
                      </c:pt>
                      <c:pt idx="8">
                        <c:v>Set</c:v>
                      </c:pt>
                      <c:pt idx="9">
                        <c:v>Out</c:v>
                      </c:pt>
                      <c:pt idx="10">
                        <c:v>Nov</c:v>
                      </c:pt>
                      <c:pt idx="11">
                        <c:v>Dez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Serviço!$N$12:$AB$12</c15:sqref>
                        </c15:fullRef>
                        <c15:formulaRef>
                          <c15:sqref>Serviço!$O$12:$Z$12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>
                        <c:v>0</c:v>
                      </c:pt>
                      <c:pt idx="1">
                        <c:v>19.100000000000001</c:v>
                      </c:pt>
                      <c:pt idx="2">
                        <c:v>19.7</c:v>
                      </c:pt>
                      <c:pt idx="3">
                        <c:v>18.5</c:v>
                      </c:pt>
                      <c:pt idx="4">
                        <c:v>17.100000000000001</c:v>
                      </c:pt>
                      <c:pt idx="5">
                        <c:v>18.2</c:v>
                      </c:pt>
                      <c:pt idx="6">
                        <c:v>19.600000000000001</c:v>
                      </c:pt>
                      <c:pt idx="7">
                        <c:v>18.5</c:v>
                      </c:pt>
                      <c:pt idx="8">
                        <c:v>17.7</c:v>
                      </c:pt>
                      <c:pt idx="9">
                        <c:v>19.3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A4AA-43CD-9C39-AC2329FA2D8E}"/>
                  </c:ext>
                </c:extLst>
              </c15:ser>
            </c15:filteredBarSeries>
          </c:ext>
        </c:extLst>
      </c:barChart>
      <c:catAx>
        <c:axId val="55900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9003407"/>
        <c:crosses val="autoZero"/>
        <c:auto val="1"/>
        <c:lblAlgn val="ctr"/>
        <c:lblOffset val="100"/>
        <c:noMultiLvlLbl val="0"/>
      </c:catAx>
      <c:valAx>
        <c:axId val="55900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900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PT"/>
              <a:t>Evolução das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Serviço!$B$108</c:f>
              <c:strCache>
                <c:ptCount val="1"/>
                <c:pt idx="0">
                  <c:v>20 vs 2019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Serviço!$C$104:$P$104</c15:sqref>
                  </c15:fullRef>
                </c:ext>
              </c:extLst>
              <c:f>Serviço!$C$104:$K$104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Serviço!$C$107:$P$107</c15:sqref>
                  </c15:fullRef>
                </c:ext>
              </c:extLst>
              <c:f>Serviço!$C$107:$K$107</c:f>
              <c:numCache>
                <c:formatCode>0.00%</c:formatCode>
                <c:ptCount val="9"/>
                <c:pt idx="0">
                  <c:v>0.32229999999999998</c:v>
                </c:pt>
                <c:pt idx="1">
                  <c:v>0.35049999999999998</c:v>
                </c:pt>
                <c:pt idx="2">
                  <c:v>0.18770000000000001</c:v>
                </c:pt>
                <c:pt idx="3">
                  <c:v>-0.12280000000000001</c:v>
                </c:pt>
                <c:pt idx="4">
                  <c:v>-0.16439999999999999</c:v>
                </c:pt>
                <c:pt idx="5">
                  <c:v>-0.15590000000000001</c:v>
                </c:pt>
                <c:pt idx="6">
                  <c:v>-0.1822</c:v>
                </c:pt>
                <c:pt idx="7">
                  <c:v>-0.19359999999999999</c:v>
                </c:pt>
                <c:pt idx="8">
                  <c:v>-0.1366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F65B-4487-8A52-872CE91B480B}"/>
            </c:ext>
          </c:extLst>
        </c:ser>
        <c:ser>
          <c:idx val="3"/>
          <c:order val="3"/>
          <c:tx>
            <c:strRef>
              <c:f>Serviço!$B$109</c:f>
              <c:strCache>
                <c:ptCount val="1"/>
                <c:pt idx="0">
                  <c:v>32 vs 2024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Serviço!$C$104:$P$104</c15:sqref>
                  </c15:fullRef>
                </c:ext>
              </c:extLst>
              <c:f>Serviço!$C$104:$K$104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Serviço!$C$108:$P$108</c15:sqref>
                  </c15:fullRef>
                </c:ext>
              </c:extLst>
              <c:f>Serviço!$C$108:$K$108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F65B-4487-8A52-872CE91B480B}"/>
            </c:ext>
          </c:extLst>
        </c:ser>
        <c:ser>
          <c:idx val="5"/>
          <c:order val="5"/>
          <c:tx>
            <c:strRef>
              <c:f>Serviço!$B$111</c:f>
              <c:strCache>
                <c:ptCount val="1"/>
                <c:pt idx="0">
                  <c:v>32 vs 2023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Serviço!$C$104:$P$104</c15:sqref>
                  </c15:fullRef>
                </c:ext>
              </c:extLst>
              <c:f>Serviço!$C$104:$K$104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Serviço!$C$110:$P$110</c15:sqref>
                  </c15:fullRef>
                </c:ext>
              </c:extLst>
              <c:f>Serviço!$C$110:$K$110</c:f>
              <c:numCache>
                <c:formatCode>0.00%</c:formatCode>
                <c:ptCount val="9"/>
                <c:pt idx="0">
                  <c:v>0.14860000000000001</c:v>
                </c:pt>
                <c:pt idx="1">
                  <c:v>0.22639999999999999</c:v>
                </c:pt>
                <c:pt idx="2">
                  <c:v>4.4699999999999997E-2</c:v>
                </c:pt>
                <c:pt idx="3">
                  <c:v>0.1154</c:v>
                </c:pt>
                <c:pt idx="4">
                  <c:v>6.2399999999999997E-2</c:v>
                </c:pt>
                <c:pt idx="5">
                  <c:v>8.7999999999999995E-2</c:v>
                </c:pt>
                <c:pt idx="6">
                  <c:v>0.111</c:v>
                </c:pt>
                <c:pt idx="7">
                  <c:v>0.1123</c:v>
                </c:pt>
                <c:pt idx="8">
                  <c:v>0.1835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F65B-4487-8A52-872CE91B480B}"/>
            </c:ext>
          </c:extLst>
        </c:ser>
        <c:ser>
          <c:idx val="6"/>
          <c:order val="6"/>
          <c:tx>
            <c:strRef>
              <c:f>Serviço!$B$112</c:f>
              <c:strCache>
                <c:ptCount val="1"/>
                <c:pt idx="0">
                  <c:v>Nacional vs 2019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Serviço!$C$104:$P$104</c15:sqref>
                  </c15:fullRef>
                </c:ext>
              </c:extLst>
              <c:f>Serviço!$C$104:$K$104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Serviço!$C$111:$P$111</c15:sqref>
                  </c15:fullRef>
                </c:ext>
              </c:extLst>
              <c:f>Serviço!$C$111:$K$111</c:f>
            </c:numRef>
          </c:val>
          <c:smooth val="0"/>
          <c:extLst>
            <c:ext xmlns:c16="http://schemas.microsoft.com/office/drawing/2014/chart" uri="{C3380CC4-5D6E-409C-BE32-E72D297353CC}">
              <c16:uniqueId val="{00000006-F65B-4487-8A52-872CE91B48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429775"/>
        <c:axId val="12204289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Serviço!$B$106</c15:sqref>
                        </c15:formulaRef>
                      </c:ext>
                    </c:extLst>
                    <c:strCache>
                      <c:ptCount val="1"/>
                      <c:pt idx="0">
                        <c:v>20 vs 2024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Serviço!$C$104:$P$104</c15:sqref>
                        </c15:fullRef>
                        <c15:formulaRef>
                          <c15:sqref>Serviço!$C$104:$K$104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Serviço!$C$105:$P$105</c15:sqref>
                        </c15:fullRef>
                        <c15:formulaRef>
                          <c15:sqref>Serviço!$C$105:$K$105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F65B-4487-8A52-872CE91B480B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Serviço!$B$107</c15:sqref>
                        </c15:formulaRef>
                      </c:ext>
                    </c:extLst>
                    <c:strCache>
                      <c:ptCount val="1"/>
                      <c:pt idx="0">
                        <c:v>DELIVERY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Serviço!$C$104:$P$104</c15:sqref>
                        </c15:fullRef>
                        <c15:formulaRef>
                          <c15:sqref>Serviço!$C$104:$K$104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Serviço!$C$106:$P$106</c15:sqref>
                        </c15:fullRef>
                        <c15:formulaRef>
                          <c15:sqref>Serviço!$C$106:$K$106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0.21340000000000001</c:v>
                      </c:pt>
                      <c:pt idx="1">
                        <c:v>0.2094</c:v>
                      </c:pt>
                      <c:pt idx="2">
                        <c:v>0.14349999999999999</c:v>
                      </c:pt>
                      <c:pt idx="3">
                        <c:v>-8.2199999999999995E-2</c:v>
                      </c:pt>
                      <c:pt idx="4">
                        <c:v>-0.113</c:v>
                      </c:pt>
                      <c:pt idx="5">
                        <c:v>-8.6999999999999994E-2</c:v>
                      </c:pt>
                      <c:pt idx="6">
                        <c:v>-0.13769999999999999</c:v>
                      </c:pt>
                      <c:pt idx="7">
                        <c:v>-6.9699999999999998E-2</c:v>
                      </c:pt>
                      <c:pt idx="8">
                        <c:v>-8.1699999999999995E-2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F65B-4487-8A52-872CE91B480B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Serviço!$B$110</c15:sqref>
                        </c15:formulaRef>
                      </c:ext>
                    </c:extLst>
                    <c:strCache>
                      <c:ptCount val="1"/>
                      <c:pt idx="0">
                        <c:v>DELIVERY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Serviço!$C$104:$P$104</c15:sqref>
                        </c15:fullRef>
                        <c15:formulaRef>
                          <c15:sqref>Serviço!$C$104:$K$104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Serviço!$C$109:$P$109</c15:sqref>
                        </c15:fullRef>
                        <c15:formulaRef>
                          <c15:sqref>Serviço!$C$109:$K$109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8.1900000000000001E-2</c:v>
                      </c:pt>
                      <c:pt idx="1">
                        <c:v>0.13789999999999999</c:v>
                      </c:pt>
                      <c:pt idx="2">
                        <c:v>3.1300000000000001E-2</c:v>
                      </c:pt>
                      <c:pt idx="3">
                        <c:v>5.9299999999999999E-2</c:v>
                      </c:pt>
                      <c:pt idx="4">
                        <c:v>6.2899999999999998E-2</c:v>
                      </c:pt>
                      <c:pt idx="5">
                        <c:v>7.6700000000000004E-2</c:v>
                      </c:pt>
                      <c:pt idx="6">
                        <c:v>5.8400000000000001E-2</c:v>
                      </c:pt>
                      <c:pt idx="7">
                        <c:v>8.6099999999999996E-2</c:v>
                      </c:pt>
                      <c:pt idx="8">
                        <c:v>0.1032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F65B-4487-8A52-872CE91B480B}"/>
                  </c:ext>
                </c:extLst>
              </c15:ser>
            </c15:filteredLineSeries>
          </c:ext>
        </c:extLst>
      </c:lineChart>
      <c:catAx>
        <c:axId val="12204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20428943"/>
        <c:crosses val="autoZero"/>
        <c:auto val="1"/>
        <c:lblAlgn val="ctr"/>
        <c:lblOffset val="100"/>
        <c:noMultiLvlLbl val="0"/>
      </c:catAx>
      <c:valAx>
        <c:axId val="12204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204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PT"/>
              <a:t>Evolução das GC's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Serviço!$B$118</c:f>
              <c:strCache>
                <c:ptCount val="1"/>
                <c:pt idx="0">
                  <c:v>20 vs 2019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Serviço!$C$114:$P$114</c15:sqref>
                  </c15:fullRef>
                </c:ext>
              </c:extLst>
              <c:f>Serviço!$C$114:$K$114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Serviço!$C$117:$P$117</c15:sqref>
                  </c15:fullRef>
                </c:ext>
              </c:extLst>
              <c:f>Serviço!$C$117:$K$117</c:f>
              <c:numCache>
                <c:formatCode>0.00%</c:formatCode>
                <c:ptCount val="9"/>
                <c:pt idx="0">
                  <c:v>0.28410000000000002</c:v>
                </c:pt>
                <c:pt idx="1">
                  <c:v>0.31709999999999999</c:v>
                </c:pt>
                <c:pt idx="2">
                  <c:v>0.14180000000000001</c:v>
                </c:pt>
                <c:pt idx="3">
                  <c:v>-0.1762</c:v>
                </c:pt>
                <c:pt idx="4">
                  <c:v>-0.22439999999999999</c:v>
                </c:pt>
                <c:pt idx="5">
                  <c:v>-0.19600000000000001</c:v>
                </c:pt>
                <c:pt idx="6">
                  <c:v>-0.23499999999999999</c:v>
                </c:pt>
                <c:pt idx="7">
                  <c:v>-0.24030000000000001</c:v>
                </c:pt>
                <c:pt idx="8">
                  <c:v>-0.18090000000000001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5F9F-4D4C-9208-51FB7F4617A9}"/>
            </c:ext>
          </c:extLst>
        </c:ser>
        <c:ser>
          <c:idx val="3"/>
          <c:order val="3"/>
          <c:tx>
            <c:strRef>
              <c:f>Serviço!$B$119</c:f>
              <c:strCache>
                <c:ptCount val="1"/>
                <c:pt idx="0">
                  <c:v>TOTAIS vs 2024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Serviço!$C$114:$P$114</c15:sqref>
                  </c15:fullRef>
                </c:ext>
              </c:extLst>
              <c:f>Serviço!$C$114:$K$114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Serviço!$C$118:$P$118</c15:sqref>
                  </c15:fullRef>
                </c:ext>
              </c:extLst>
              <c:f>Serviço!$C$118:$K$118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5F9F-4D4C-9208-51FB7F4617A9}"/>
            </c:ext>
          </c:extLst>
        </c:ser>
        <c:ser>
          <c:idx val="5"/>
          <c:order val="5"/>
          <c:tx>
            <c:strRef>
              <c:f>Serviço!$B$121</c:f>
              <c:strCache>
                <c:ptCount val="1"/>
                <c:pt idx="0">
                  <c:v>32 vs 2019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Serviço!$C$114:$P$114</c15:sqref>
                  </c15:fullRef>
                </c:ext>
              </c:extLst>
              <c:f>Serviço!$C$114:$K$114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Serviço!$C$120:$P$120</c15:sqref>
                  </c15:fullRef>
                </c:ext>
              </c:extLst>
              <c:f>Serviço!$C$120:$K$120</c:f>
              <c:numCache>
                <c:formatCode>0.00%</c:formatCode>
                <c:ptCount val="9"/>
                <c:pt idx="0">
                  <c:v>0.11269999999999999</c:v>
                </c:pt>
                <c:pt idx="1">
                  <c:v>0.17749999999999999</c:v>
                </c:pt>
                <c:pt idx="2">
                  <c:v>-1.72E-2</c:v>
                </c:pt>
                <c:pt idx="3">
                  <c:v>5.6</c:v>
                </c:pt>
                <c:pt idx="4">
                  <c:v>6.2399999999999997E-2</c:v>
                </c:pt>
                <c:pt idx="5">
                  <c:v>6.0900000000000003E-2</c:v>
                </c:pt>
                <c:pt idx="6">
                  <c:v>4.5699999999999998E-2</c:v>
                </c:pt>
                <c:pt idx="7">
                  <c:v>8.1799999999999998E-2</c:v>
                </c:pt>
                <c:pt idx="8">
                  <c:v>0.16259999999999999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5F9F-4D4C-9208-51FB7F4617A9}"/>
            </c:ext>
          </c:extLst>
        </c:ser>
        <c:ser>
          <c:idx val="6"/>
          <c:order val="6"/>
          <c:tx>
            <c:strRef>
              <c:f>Serviço!$B$122</c:f>
              <c:strCache>
                <c:ptCount val="1"/>
                <c:pt idx="0">
                  <c:v>Nacional vs 2019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Serviço!$C$114:$P$114</c15:sqref>
                  </c15:fullRef>
                </c:ext>
              </c:extLst>
              <c:f>Serviço!$C$114:$K$114</c:f>
              <c:numCache>
                <c:formatCode>General</c:formatCode>
                <c:ptCount val="9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Serviço!$C$121:$P$121</c15:sqref>
                  </c15:fullRef>
                </c:ext>
              </c:extLst>
              <c:f>Serviço!$C$121:$K$121</c:f>
            </c:numRef>
          </c:val>
          <c:smooth val="0"/>
          <c:extLst>
            <c:ext xmlns:c16="http://schemas.microsoft.com/office/drawing/2014/chart" uri="{C3380CC4-5D6E-409C-BE32-E72D297353CC}">
              <c16:uniqueId val="{00000006-5F9F-4D4C-9208-51FB7F4617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366879"/>
        <c:axId val="11853298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Serviço!$B$116</c15:sqref>
                        </c15:formulaRef>
                      </c:ext>
                    </c:extLst>
                    <c:strCache>
                      <c:ptCount val="1"/>
                      <c:pt idx="0">
                        <c:v>TOTAIS vs 2024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ullRef>
                          <c15:sqref>Serviço!$C$114:$P$114</c15:sqref>
                        </c15:fullRef>
                        <c15:formulaRef>
                          <c15:sqref>Serviço!$C$114:$K$114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Serviço!$C$115:$P$115</c15:sqref>
                        </c15:fullRef>
                        <c15:formulaRef>
                          <c15:sqref>Serviço!$C$115:$K$115</c15:sqref>
                        </c15:formulaRef>
                      </c:ext>
                    </c:extLst>
                    <c:numCache>
                      <c:formatCode>General</c:formatCode>
                      <c:ptCount val="9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5F9F-4D4C-9208-51FB7F4617A9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Serviço!$B$117</c15:sqref>
                        </c15:formulaRef>
                      </c:ext>
                    </c:extLst>
                    <c:strCache>
                      <c:ptCount val="1"/>
                      <c:pt idx="0">
                        <c:v>DELIVERY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Serviço!$C$114:$P$114</c15:sqref>
                        </c15:fullRef>
                        <c15:formulaRef>
                          <c15:sqref>Serviço!$C$114:$K$114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Serviço!$C$116:$P$116</c15:sqref>
                        </c15:fullRef>
                        <c15:formulaRef>
                          <c15:sqref>Serviço!$C$116:$K$116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0.12709999999999999</c:v>
                      </c:pt>
                      <c:pt idx="1">
                        <c:v>0.12659999999999999</c:v>
                      </c:pt>
                      <c:pt idx="2">
                        <c:v>6.5699999999999995E-2</c:v>
                      </c:pt>
                      <c:pt idx="3">
                        <c:v>-0.1341</c:v>
                      </c:pt>
                      <c:pt idx="4">
                        <c:v>-0.12989999999999999</c:v>
                      </c:pt>
                      <c:pt idx="5">
                        <c:v>9.3200000000000005E-2</c:v>
                      </c:pt>
                      <c:pt idx="6">
                        <c:v>-0.11990000000000001</c:v>
                      </c:pt>
                      <c:pt idx="7">
                        <c:v>-9.8199999999999996E-2</c:v>
                      </c:pt>
                      <c:pt idx="8">
                        <c:v>-0.11509999999999999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F9F-4D4C-9208-51FB7F4617A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Serviço!$B$120</c15:sqref>
                        </c15:formulaRef>
                      </c:ext>
                    </c:extLst>
                    <c:strCache>
                      <c:ptCount val="1"/>
                      <c:pt idx="0">
                        <c:v>DELIVERY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Serviço!$C$114:$P$114</c15:sqref>
                        </c15:fullRef>
                        <c15:formulaRef>
                          <c15:sqref>Serviço!$C$114:$K$114</c15:sqref>
                        </c15:formulaRef>
                      </c:ext>
                    </c:extLst>
                    <c:numCache>
                      <c:formatCode>General</c:formatCode>
                      <c:ptCount val="9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Serviço!$C$119:$P$119</c15:sqref>
                        </c15:fullRef>
                        <c15:formulaRef>
                          <c15:sqref>Serviço!$C$119:$K$119</c15:sqref>
                        </c15:formulaRef>
                      </c:ext>
                    </c:extLst>
                    <c:numCache>
                      <c:formatCode>0.00%</c:formatCode>
                      <c:ptCount val="9"/>
                      <c:pt idx="0">
                        <c:v>1.11E-2</c:v>
                      </c:pt>
                      <c:pt idx="1">
                        <c:v>5.8700000000000002E-2</c:v>
                      </c:pt>
                      <c:pt idx="2">
                        <c:v>-5.0000000000000001E-4</c:v>
                      </c:pt>
                      <c:pt idx="3">
                        <c:v>-1.3599999999999999E-2</c:v>
                      </c:pt>
                      <c:pt idx="4">
                        <c:v>-7.6E-3</c:v>
                      </c:pt>
                      <c:pt idx="5">
                        <c:v>4.0099999999999997E-2</c:v>
                      </c:pt>
                      <c:pt idx="6">
                        <c:v>-4.8899999999999999E-2</c:v>
                      </c:pt>
                      <c:pt idx="7">
                        <c:v>-1.04E-2</c:v>
                      </c:pt>
                      <c:pt idx="8">
                        <c:v>2.3E-3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F9F-4D4C-9208-51FB7F4617A9}"/>
                  </c:ext>
                </c:extLst>
              </c15:ser>
            </c15:filteredLineSeries>
          </c:ext>
        </c:extLst>
      </c:lineChart>
      <c:catAx>
        <c:axId val="118536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5329855"/>
        <c:crosses val="autoZero"/>
        <c:auto val="1"/>
        <c:lblAlgn val="ctr"/>
        <c:lblOffset val="100"/>
        <c:noMultiLvlLbl val="0"/>
      </c:catAx>
      <c:valAx>
        <c:axId val="11853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536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Divisão de vendas Queluz</a:t>
            </a:r>
          </a:p>
        </c:rich>
      </c:tx>
      <c:layout>
        <c:manualLayout>
          <c:xMode val="edge"/>
          <c:yMode val="edge"/>
          <c:x val="0.21797258265648392"/>
          <c:y val="2.68757093670664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31620264677674925"/>
          <c:y val="0.2071990984713058"/>
          <c:w val="0.32208547686806771"/>
          <c:h val="0.68691852406635578"/>
        </c:manualLayout>
      </c:layout>
      <c:pieChart>
        <c:varyColors val="1"/>
        <c:ser>
          <c:idx val="12"/>
          <c:order val="12"/>
          <c:tx>
            <c:strRef>
              <c:f>Serviço!$O$80</c:f>
              <c:strCache>
                <c:ptCount val="1"/>
                <c:pt idx="0">
                  <c:v>YTD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6832-40AB-B9A3-835AEA42A9D2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6832-40AB-B9A3-835AEA42A9D2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B-FB6D-4C82-B78F-EEBF6C8428B5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1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Serviço!$B$81:$B$89</c15:sqref>
                  </c15:fullRef>
                </c:ext>
              </c:extLst>
              <c:f>(Serviço!$B$82,Serviço!$B$84:$B$88)</c:f>
              <c:strCache>
                <c:ptCount val="3"/>
                <c:pt idx="0">
                  <c:v>DELIVERY</c:v>
                </c:pt>
                <c:pt idx="1">
                  <c:v>SALA</c:v>
                </c:pt>
                <c:pt idx="2">
                  <c:v>MOP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Serviço!$O$81:$O$89</c15:sqref>
                  </c15:fullRef>
                </c:ext>
              </c:extLst>
              <c:f>(Serviço!$O$82,Serviço!$O$84:$O$88)</c:f>
              <c:numCache>
                <c:formatCode>_-* #\ ##0\ "€"_-;\-* #\ ##0\ "€"_-;_-* "-"??\ "€"_-;_-@_-</c:formatCode>
                <c:ptCount val="3"/>
                <c:pt idx="0">
                  <c:v>911143</c:v>
                </c:pt>
                <c:pt idx="1">
                  <c:v>877642</c:v>
                </c:pt>
                <c:pt idx="2">
                  <c:v>9100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6832-40AB-B9A3-835AEA42A9D2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Serviço!$C$80</c15:sqref>
                        </c15:formulaRef>
                      </c:ext>
                    </c:extLst>
                    <c:strCache>
                      <c:ptCount val="1"/>
                      <c:pt idx="0">
                        <c:v>Jan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A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F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Serviço!$C$81:$C$89</c15:sqref>
                        </c15:fullRef>
                        <c15:formulaRef>
                          <c15:sqref>(Serviço!$C$82,Serviço!$C$84:$C$88)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84519</c:v>
                      </c:pt>
                      <c:pt idx="1">
                        <c:v>72877</c:v>
                      </c:pt>
                      <c:pt idx="2">
                        <c:v>1048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D-6832-40AB-B9A3-835AEA42A9D2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Serviço!$D$80</c15:sqref>
                        </c15:formulaRef>
                      </c:ext>
                    </c:extLst>
                    <c:strCache>
                      <c:ptCount val="1"/>
                      <c:pt idx="0">
                        <c:v>Fev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1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1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Serviço!$D$81:$D$89</c15:sqref>
                        </c15:fullRef>
                        <c15:formulaRef>
                          <c15:sqref>(Serviço!$D$82,Serviço!$D$84:$D$88)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65465</c:v>
                      </c:pt>
                      <c:pt idx="1">
                        <c:v>77695</c:v>
                      </c:pt>
                      <c:pt idx="2">
                        <c:v>458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4-6832-40AB-B9A3-835AEA42A9D2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Serviço!$E$80</c15:sqref>
                        </c15:formulaRef>
                      </c:ext>
                    </c:extLst>
                    <c:strCache>
                      <c:ptCount val="1"/>
                      <c:pt idx="0">
                        <c:v>Mar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6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8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3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Serviço!$E$81:$E$89</c15:sqref>
                        </c15:fullRef>
                        <c15:formulaRef>
                          <c15:sqref>(Serviço!$E$82,Serviço!$E$84:$E$88)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81486</c:v>
                      </c:pt>
                      <c:pt idx="1">
                        <c:v>71682</c:v>
                      </c:pt>
                      <c:pt idx="2">
                        <c:v>640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B-6832-40AB-B9A3-835AEA42A9D2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Serviço!$F$80</c15:sqref>
                        </c15:formulaRef>
                      </c:ext>
                    </c:extLst>
                    <c:strCache>
                      <c:ptCount val="1"/>
                      <c:pt idx="0">
                        <c:v>Abr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F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5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Serviço!$F$81:$F$89</c15:sqref>
                        </c15:fullRef>
                        <c15:formulaRef>
                          <c15:sqref>(Serviço!$F$82,Serviço!$F$84:$F$88)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69722</c:v>
                      </c:pt>
                      <c:pt idx="1">
                        <c:v>73157</c:v>
                      </c:pt>
                      <c:pt idx="2">
                        <c:v>834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2-6832-40AB-B9A3-835AEA42A9D2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Serviço!$G$80</c15:sqref>
                        </c15:formulaRef>
                      </c:ext>
                    </c:extLst>
                    <c:strCache>
                      <c:ptCount val="1"/>
                      <c:pt idx="0">
                        <c:v>Mai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4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7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Serviço!$G$81:$G$89</c15:sqref>
                        </c15:fullRef>
                        <c15:formulaRef>
                          <c15:sqref>(Serviço!$G$82,Serviço!$G$84:$G$88)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80996</c:v>
                      </c:pt>
                      <c:pt idx="1">
                        <c:v>80983</c:v>
                      </c:pt>
                      <c:pt idx="2">
                        <c:v>1043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9-6832-40AB-B9A3-835AEA42A9D2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Serviço!$H$80</c15:sqref>
                        </c15:formulaRef>
                      </c:ext>
                    </c:extLst>
                    <c:strCache>
                      <c:ptCount val="1"/>
                      <c:pt idx="0">
                        <c:v>Jun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D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9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Serviço!$H$81:$H$89</c15:sqref>
                        </c15:fullRef>
                        <c15:formulaRef>
                          <c15:sqref>(Serviço!$H$82,Serviço!$H$84:$H$88)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81485</c:v>
                      </c:pt>
                      <c:pt idx="1">
                        <c:v>77609</c:v>
                      </c:pt>
                      <c:pt idx="2">
                        <c:v>790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0-6832-40AB-B9A3-835AEA42A9D2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Serviço!$I$80</c15:sqref>
                        </c15:formulaRef>
                      </c:ext>
                    </c:extLst>
                    <c:strCache>
                      <c:ptCount val="1"/>
                      <c:pt idx="0">
                        <c:v>Jul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4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Serviço!$I$81:$I$89</c15:sqref>
                        </c15:fullRef>
                        <c15:formulaRef>
                          <c15:sqref>(Serviço!$I$82,Serviço!$I$84:$I$88)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81004</c:v>
                      </c:pt>
                      <c:pt idx="1">
                        <c:v>84276</c:v>
                      </c:pt>
                      <c:pt idx="2">
                        <c:v>803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Serviço!$I$89</c15:sqref>
                        <c15:spPr xmlns:c15="http://schemas.microsoft.com/office/drawing/2012/chart">
                          <a:solidFill>
                            <a:schemeClr val="accent3">
                              <a:lumMod val="60000"/>
                            </a:schemeClr>
                          </a:solidFill>
                          <a:ln>
                            <a:noFill/>
                          </a:ln>
                          <a:effectLst/>
                          <a:scene3d>
                            <a:camera prst="orthographicFront"/>
                            <a:lightRig rig="brightRoom" dir="t"/>
                          </a:scene3d>
                          <a:sp3d prstMaterial="flat">
                            <a:bevelT w="50800" h="101600" prst="angle"/>
                            <a:contourClr>
                              <a:srgbClr val="000000"/>
                            </a:contourClr>
                          </a:sp3d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37-6832-40AB-B9A3-835AEA42A9D2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Serviço!$J$80</c15:sqref>
                        </c15:formulaRef>
                      </c:ext>
                    </c:extLst>
                    <c:strCache>
                      <c:ptCount val="1"/>
                      <c:pt idx="0">
                        <c:v>Ago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B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Serviço!$J$81:$J$89</c15:sqref>
                        </c15:fullRef>
                        <c15:formulaRef>
                          <c15:sqref>(Serviço!$J$82,Serviço!$J$84:$J$88)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84656</c:v>
                      </c:pt>
                      <c:pt idx="1">
                        <c:v>83878</c:v>
                      </c:pt>
                      <c:pt idx="2">
                        <c:v>999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>
                      <c15:categoryFilterException>
                        <c15:sqref>Serviço!$J$89</c15:sqref>
                        <c15:spPr xmlns:c15="http://schemas.microsoft.com/office/drawing/2012/chart">
                          <a:solidFill>
                            <a:schemeClr val="accent3">
                              <a:lumMod val="60000"/>
                            </a:schemeClr>
                          </a:solidFill>
                          <a:ln>
                            <a:noFill/>
                          </a:ln>
                          <a:effectLst/>
                          <a:scene3d>
                            <a:camera prst="orthographicFront"/>
                            <a:lightRig rig="brightRoom" dir="t"/>
                          </a:scene3d>
                          <a:sp3d prstMaterial="flat">
                            <a:bevelT w="50800" h="101600" prst="angle"/>
                            <a:contourClr>
                              <a:srgbClr val="000000"/>
                            </a:contourClr>
                          </a:sp3d>
                        </c15:spPr>
                        <c15:bubble3D val="0"/>
                      </c15:categoryFilterException>
                    </c15:categoryFilterExceptions>
                  </c:ext>
                  <c:ext xmlns:c16="http://schemas.microsoft.com/office/drawing/2014/chart" uri="{C3380CC4-5D6E-409C-BE32-E72D297353CC}">
                    <c16:uniqueId val="{0000003E-6832-40AB-B9A3-835AEA42A9D2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Serviço!$K$80</c15:sqref>
                        </c15:formulaRef>
                      </c:ext>
                    </c:extLst>
                    <c:strCache>
                      <c:ptCount val="1"/>
                      <c:pt idx="0">
                        <c:v>Set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2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3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Serviço!$K$81:$K$89</c15:sqref>
                        </c15:fullRef>
                        <c15:formulaRef>
                          <c15:sqref>(Serviço!$K$82,Serviço!$K$84:$K$88)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80057</c:v>
                      </c:pt>
                      <c:pt idx="1">
                        <c:v>75460</c:v>
                      </c:pt>
                      <c:pt idx="2">
                        <c:v>913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5-6832-40AB-B9A3-835AEA42A9D2}"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Serviço!$L$80</c15:sqref>
                        </c15:formulaRef>
                      </c:ext>
                    </c:extLst>
                    <c:strCache>
                      <c:ptCount val="1"/>
                      <c:pt idx="0">
                        <c:v>Out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9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5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Serviço!$L$81:$L$89</c15:sqref>
                        </c15:fullRef>
                        <c15:formulaRef>
                          <c15:sqref>(Serviço!$L$82,Serviço!$L$84:$L$88)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83675</c:v>
                      </c:pt>
                      <c:pt idx="1">
                        <c:v>78005</c:v>
                      </c:pt>
                      <c:pt idx="2">
                        <c:v>597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6832-40AB-B9A3-835AEA42A9D2}"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Serviço!$M$80</c15:sqref>
                        </c15:formulaRef>
                      </c:ext>
                    </c:extLst>
                    <c:strCache>
                      <c:ptCount val="1"/>
                      <c:pt idx="0">
                        <c:v>Nov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0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7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Serviço!$M$81:$M$89</c15:sqref>
                        </c15:fullRef>
                        <c15:formulaRef>
                          <c15:sqref>(Serviço!$M$82,Serviço!$M$84:$M$88)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87136</c:v>
                      </c:pt>
                      <c:pt idx="1">
                        <c:v>75596</c:v>
                      </c:pt>
                      <c:pt idx="2">
                        <c:v>563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3-6832-40AB-B9A3-835AEA42A9D2}"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Serviço!$N$80</c15:sqref>
                        </c15:formulaRef>
                      </c:ext>
                    </c:extLst>
                    <c:strCache>
                      <c:ptCount val="1"/>
                      <c:pt idx="0">
                        <c:v>Dez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6832-40AB-B9A3-835AEA42A9D2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7-6832-40AB-B9A3-835AEA42A9D2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9-FB6D-4C82-B78F-EEBF6C8428B5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Serviço!$B$81:$B$89</c15:sqref>
                        </c15:fullRef>
                        <c15:formulaRef>
                          <c15:sqref>(Serviço!$B$82,Serviço!$B$84:$B$88)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Serviço!$N$81:$N$89</c15:sqref>
                        </c15:fullRef>
                        <c15:formulaRef>
                          <c15:sqref>(Serviço!$N$82,Serviço!$N$84:$N$88)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30942</c:v>
                      </c:pt>
                      <c:pt idx="1">
                        <c:v>26424</c:v>
                      </c:pt>
                      <c:pt idx="2">
                        <c:v>412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A-6832-40AB-B9A3-835AEA42A9D2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Serviço!$B$70</c:f>
              <c:strCache>
                <c:ptCount val="1"/>
                <c:pt idx="0">
                  <c:v>TOTAIS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Serviço!$C$68:$P$68</c15:sqref>
                  </c15:fullRef>
                </c:ext>
              </c:extLst>
              <c:f>Serviço!$C$68:$N$68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Serviço!$C$69:$P$69</c15:sqref>
                  </c15:fullRef>
                </c:ext>
              </c:extLst>
              <c:f>Serviço!$C$69:$N$69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CB1-4EB0-B780-E547CEE9573D}"/>
            </c:ext>
          </c:extLst>
        </c:ser>
        <c:ser>
          <c:idx val="1"/>
          <c:order val="1"/>
          <c:tx>
            <c:strRef>
              <c:f>Serviço!$B$71</c:f>
              <c:strCache>
                <c:ptCount val="1"/>
                <c:pt idx="0">
                  <c:v>DELIVERY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Serviço!$C$68:$P$68</c15:sqref>
                  </c15:fullRef>
                </c:ext>
              </c:extLst>
              <c:f>Serviço!$C$68:$N$68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Serviço!$C$70:$P$70</c15:sqref>
                  </c15:fullRef>
                </c:ext>
              </c:extLst>
              <c:f>Serviço!$C$70:$N$70</c:f>
              <c:numCache>
                <c:formatCode>_("€"* #,##0.00_);_("€"* \(#,##0.00\);_("€"* "-"??_);_(@_)</c:formatCode>
                <c:ptCount val="12"/>
                <c:pt idx="0">
                  <c:v>288945</c:v>
                </c:pt>
                <c:pt idx="1">
                  <c:v>254163</c:v>
                </c:pt>
                <c:pt idx="2">
                  <c:v>280532</c:v>
                </c:pt>
                <c:pt idx="3">
                  <c:v>247258</c:v>
                </c:pt>
                <c:pt idx="4">
                  <c:v>251597</c:v>
                </c:pt>
                <c:pt idx="5">
                  <c:v>252397</c:v>
                </c:pt>
                <c:pt idx="6">
                  <c:v>268928</c:v>
                </c:pt>
                <c:pt idx="7">
                  <c:v>286413</c:v>
                </c:pt>
                <c:pt idx="8">
                  <c:v>246748</c:v>
                </c:pt>
                <c:pt idx="9">
                  <c:v>236241</c:v>
                </c:pt>
                <c:pt idx="10">
                  <c:v>236196</c:v>
                </c:pt>
                <c:pt idx="11">
                  <c:v>82979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CB1-4EB0-B780-E547CEE9573D}"/>
            </c:ext>
          </c:extLst>
        </c:ser>
        <c:ser>
          <c:idx val="5"/>
          <c:order val="5"/>
          <c:tx>
            <c:strRef>
              <c:f>Serviço!$B$75</c:f>
              <c:strCache>
                <c:ptCount val="1"/>
                <c:pt idx="0">
                  <c:v>TAKE-AWAY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Serviço!$C$68:$P$68</c15:sqref>
                  </c15:fullRef>
                </c:ext>
              </c:extLst>
              <c:f>Serviço!$C$68:$N$68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Serviço!$C$74:$P$74</c15:sqref>
                  </c15:fullRef>
                </c:ext>
              </c:extLst>
              <c:f>Serviço!$C$74:$N$74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DCB1-4EB0-B780-E547CEE9573D}"/>
            </c:ext>
          </c:extLst>
        </c:ser>
        <c:ser>
          <c:idx val="6"/>
          <c:order val="6"/>
          <c:tx>
            <c:strRef>
              <c:f>Serviço!$B$76</c:f>
              <c:strCache>
                <c:ptCount val="1"/>
                <c:pt idx="0">
                  <c:v>% TAKE-AWAY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Serviço!$C$68:$P$68</c15:sqref>
                  </c15:fullRef>
                </c:ext>
              </c:extLst>
              <c:f>Serviço!$C$68:$N$68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Serviço!$C$75:$P$75</c15:sqref>
                  </c15:fullRef>
                </c:ext>
              </c:extLst>
              <c:f>Serviço!$C$75:$N$75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DCB1-4EB0-B780-E547CEE9573D}"/>
            </c:ext>
          </c:extLst>
        </c:ser>
        <c:ser>
          <c:idx val="7"/>
          <c:order val="7"/>
          <c:tx>
            <c:strRef>
              <c:f>Serviço!$B$77</c:f>
              <c:strCache>
                <c:ptCount val="1"/>
                <c:pt idx="0">
                  <c:v>MOP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Serviço!$C$68:$P$68</c15:sqref>
                  </c15:fullRef>
                </c:ext>
              </c:extLst>
              <c:f>Serviço!$C$68:$N$68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Serviço!$C$76:$P$76</c15:sqref>
                  </c15:fullRef>
                </c:ext>
              </c:extLst>
              <c:f>Serviço!$C$76:$N$76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9-DCB1-4EB0-B780-E547CEE957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2415"/>
        <c:axId val="37217839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Serviço!$B$72</c15:sqref>
                        </c15:formulaRef>
                      </c:ext>
                    </c:extLst>
                    <c:strCache>
                      <c:ptCount val="1"/>
                      <c:pt idx="0">
                        <c:v>% DELIVERY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Serviço!$C$68:$P$68</c15:sqref>
                        </c15:fullRef>
                        <c15:formulaRef>
                          <c15:sqref>Serviço!$C$68:$N$68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Serviço!$C$71:$P$71</c15:sqref>
                        </c15:fullRef>
                        <c15:formulaRef>
                          <c15:sqref>Serviço!$C$71:$N$71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172283</c:v>
                      </c:pt>
                      <c:pt idx="1">
                        <c:v>128204</c:v>
                      </c:pt>
                      <c:pt idx="2">
                        <c:v>157457</c:v>
                      </c:pt>
                      <c:pt idx="3">
                        <c:v>121125</c:v>
                      </c:pt>
                      <c:pt idx="4">
                        <c:v>131076</c:v>
                      </c:pt>
                      <c:pt idx="5">
                        <c:v>128943</c:v>
                      </c:pt>
                      <c:pt idx="6">
                        <c:v>126406</c:v>
                      </c:pt>
                      <c:pt idx="7">
                        <c:v>124607</c:v>
                      </c:pt>
                      <c:pt idx="8">
                        <c:v>127604</c:v>
                      </c:pt>
                      <c:pt idx="9">
                        <c:v>122774</c:v>
                      </c:pt>
                      <c:pt idx="10">
                        <c:v>129060</c:v>
                      </c:pt>
                      <c:pt idx="11">
                        <c:v>45288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6-DCB1-4EB0-B780-E547CEE9573D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Serviço!$B$73</c15:sqref>
                        </c15:formulaRef>
                      </c:ext>
                    </c:extLst>
                    <c:strCache>
                      <c:ptCount val="1"/>
                      <c:pt idx="0">
                        <c:v>SALA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Serviço!$C$68:$P$68</c15:sqref>
                        </c15:fullRef>
                        <c15:formulaRef>
                          <c15:sqref>Serviço!$C$68:$N$68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Serviço!$C$72:$P$72</c15:sqref>
                        </c15:fullRef>
                        <c15:formulaRef>
                          <c15:sqref>Serviço!$C$72:$N$72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0.59624842097977127</c:v>
                      </c:pt>
                      <c:pt idx="1">
                        <c:v>0.50441645715544747</c:v>
                      </c:pt>
                      <c:pt idx="2">
                        <c:v>0.56127999657793048</c:v>
                      </c:pt>
                      <c:pt idx="3">
                        <c:v>0.48987292625516665</c:v>
                      </c:pt>
                      <c:pt idx="4">
                        <c:v>0.52097600527828236</c:v>
                      </c:pt>
                      <c:pt idx="5">
                        <c:v>0.51087374255636953</c:v>
                      </c:pt>
                      <c:pt idx="6">
                        <c:v>0.47003658971918133</c:v>
                      </c:pt>
                      <c:pt idx="7">
                        <c:v>0.43506055940198246</c:v>
                      </c:pt>
                      <c:pt idx="8">
                        <c:v>0.51714299609318004</c:v>
                      </c:pt>
                      <c:pt idx="9">
                        <c:v>0.51969810490135071</c:v>
                      </c:pt>
                      <c:pt idx="10">
                        <c:v>0.54641060813900322</c:v>
                      </c:pt>
                      <c:pt idx="11">
                        <c:v>0.54577664228298728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DCB1-4EB0-B780-E547CEE9573D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Serviço!$B$74</c15:sqref>
                        </c15:formulaRef>
                      </c:ext>
                    </c:extLst>
                    <c:strCache>
                      <c:ptCount val="1"/>
                      <c:pt idx="0">
                        <c:v>% SALA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Serviço!$C$68:$P$68</c15:sqref>
                        </c15:fullRef>
                        <c15:formulaRef>
                          <c15:sqref>Serviço!$C$68:$N$68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Serviço!$C$73:$P$73</c15:sqref>
                        </c15:fullRef>
                        <c15:formulaRef>
                          <c15:sqref>Serviço!$C$73:$N$73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116662</c:v>
                      </c:pt>
                      <c:pt idx="1">
                        <c:v>125959</c:v>
                      </c:pt>
                      <c:pt idx="2">
                        <c:v>123075</c:v>
                      </c:pt>
                      <c:pt idx="3">
                        <c:v>126133</c:v>
                      </c:pt>
                      <c:pt idx="4">
                        <c:v>120521</c:v>
                      </c:pt>
                      <c:pt idx="5">
                        <c:v>123454</c:v>
                      </c:pt>
                      <c:pt idx="6">
                        <c:v>142522</c:v>
                      </c:pt>
                      <c:pt idx="7">
                        <c:v>161806</c:v>
                      </c:pt>
                      <c:pt idx="8">
                        <c:v>119144</c:v>
                      </c:pt>
                      <c:pt idx="9">
                        <c:v>113467</c:v>
                      </c:pt>
                      <c:pt idx="10">
                        <c:v>107136</c:v>
                      </c:pt>
                      <c:pt idx="11">
                        <c:v>37691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DCB1-4EB0-B780-E547CEE9573D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Serviço!$B$78</c15:sqref>
                        </c15:formulaRef>
                      </c:ext>
                    </c:extLst>
                    <c:strCache>
                      <c:ptCount val="1"/>
                      <c:pt idx="0">
                        <c:v>% MOP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Serviço!$C$68:$P$68</c15:sqref>
                        </c15:fullRef>
                        <c15:formulaRef>
                          <c15:sqref>Serviço!$C$68:$N$68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Serviço!$C$77:$P$77</c15:sqref>
                        </c15:fullRef>
                        <c15:formulaRef>
                          <c15:sqref>Serviço!$C$77:$N$77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1090</c:v>
                      </c:pt>
                      <c:pt idx="1">
                        <c:v>631</c:v>
                      </c:pt>
                      <c:pt idx="2">
                        <c:v>1021</c:v>
                      </c:pt>
                      <c:pt idx="3">
                        <c:v>711</c:v>
                      </c:pt>
                      <c:pt idx="4">
                        <c:v>976</c:v>
                      </c:pt>
                      <c:pt idx="5">
                        <c:v>841</c:v>
                      </c:pt>
                      <c:pt idx="6">
                        <c:v>970</c:v>
                      </c:pt>
                      <c:pt idx="7">
                        <c:v>633</c:v>
                      </c:pt>
                      <c:pt idx="8">
                        <c:v>751</c:v>
                      </c:pt>
                      <c:pt idx="9">
                        <c:v>783</c:v>
                      </c:pt>
                      <c:pt idx="10">
                        <c:v>661</c:v>
                      </c:pt>
                      <c:pt idx="11">
                        <c:v>216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DCB1-4EB0-B780-E547CEE9573D}"/>
                  </c:ext>
                </c:extLst>
              </c15:ser>
            </c15:filteredLineSeries>
          </c:ext>
        </c:extLst>
      </c:lineChart>
      <c:catAx>
        <c:axId val="3722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217839"/>
        <c:crosses val="autoZero"/>
        <c:auto val="1"/>
        <c:lblAlgn val="ctr"/>
        <c:lblOffset val="100"/>
        <c:noMultiLvlLbl val="0"/>
      </c:catAx>
      <c:valAx>
        <c:axId val="3721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22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Serviço!$B$81</c:f>
              <c:strCache>
                <c:ptCount val="1"/>
                <c:pt idx="0">
                  <c:v>TOTAIS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exp"/>
            <c:dispRSqr val="0"/>
            <c:dispEq val="0"/>
          </c:trendline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Serviço!$C$79:$P$79</c15:sqref>
                  </c15:fullRef>
                </c:ext>
              </c:extLst>
              <c:f>Serviço!$C$79:$N$79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Serviço!$C$80:$P$80</c15:sqref>
                  </c15:fullRef>
                </c:ext>
              </c:extLst>
              <c:f>Serviço!$C$80:$N$80</c:f>
              <c:numCache>
                <c:formatCode>General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E6B9-4CA2-B8C7-6AAB8408DF5E}"/>
            </c:ext>
          </c:extLst>
        </c:ser>
        <c:ser>
          <c:idx val="1"/>
          <c:order val="1"/>
          <c:tx>
            <c:strRef>
              <c:f>Serviço!$B$82</c:f>
              <c:strCache>
                <c:ptCount val="1"/>
                <c:pt idx="0">
                  <c:v>DELIVERY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forward val="2"/>
            <c:dispRSqr val="0"/>
            <c:dispEq val="0"/>
          </c:trendline>
          <c:cat>
            <c:numRef>
              <c:extLst>
                <c:ext xmlns:c15="http://schemas.microsoft.com/office/drawing/2012/chart" uri="{02D57815-91ED-43cb-92C2-25804820EDAC}">
                  <c15:fullRef>
                    <c15:sqref>Serviço!$C$79:$P$79</c15:sqref>
                  </c15:fullRef>
                </c:ext>
              </c:extLst>
              <c:f>Serviço!$C$79:$N$79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Serviço!$C$81:$P$81</c15:sqref>
                  </c15:fullRef>
                </c:ext>
              </c:extLst>
              <c:f>Serviço!$C$81:$N$81</c:f>
              <c:numCache>
                <c:formatCode>_("€"* #,##0.00_);_("€"* \(#,##0.00\);_("€"* "-"??_);_(@_)</c:formatCode>
                <c:ptCount val="12"/>
                <c:pt idx="0">
                  <c:v>157396</c:v>
                </c:pt>
                <c:pt idx="1">
                  <c:v>143160</c:v>
                </c:pt>
                <c:pt idx="2">
                  <c:v>153168</c:v>
                </c:pt>
                <c:pt idx="3">
                  <c:v>142879</c:v>
                </c:pt>
                <c:pt idx="4">
                  <c:v>161979</c:v>
                </c:pt>
                <c:pt idx="5">
                  <c:v>159094</c:v>
                </c:pt>
                <c:pt idx="6">
                  <c:v>165280</c:v>
                </c:pt>
                <c:pt idx="7">
                  <c:v>168534</c:v>
                </c:pt>
                <c:pt idx="8">
                  <c:v>155517</c:v>
                </c:pt>
                <c:pt idx="9">
                  <c:v>161680</c:v>
                </c:pt>
                <c:pt idx="10">
                  <c:v>162732</c:v>
                </c:pt>
                <c:pt idx="11">
                  <c:v>57366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E6B9-4CA2-B8C7-6AAB8408DF5E}"/>
            </c:ext>
          </c:extLst>
        </c:ser>
        <c:ser>
          <c:idx val="5"/>
          <c:order val="5"/>
          <c:tx>
            <c:strRef>
              <c:f>Serviço!$B$86</c:f>
              <c:strCache>
                <c:ptCount val="1"/>
                <c:pt idx="0">
                  <c:v>TAKE-AWAY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Serviço!$C$79:$P$79</c15:sqref>
                  </c15:fullRef>
                </c:ext>
              </c:extLst>
              <c:f>Serviço!$C$79:$N$79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Serviço!$C$85:$P$85</c15:sqref>
                  </c15:fullRef>
                </c:ext>
              </c:extLst>
              <c:f>Serviço!$C$85:$N$85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6B9-4CA2-B8C7-6AAB8408DF5E}"/>
            </c:ext>
          </c:extLst>
        </c:ser>
        <c:ser>
          <c:idx val="6"/>
          <c:order val="6"/>
          <c:tx>
            <c:strRef>
              <c:f>Serviço!$B$87</c:f>
              <c:strCache>
                <c:ptCount val="1"/>
                <c:pt idx="0">
                  <c:v>% TAKE-AWAY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Serviço!$C$79:$P$79</c15:sqref>
                  </c15:fullRef>
                </c:ext>
              </c:extLst>
              <c:f>Serviço!$C$79:$N$79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Serviço!$C$86:$P$86</c15:sqref>
                  </c15:fullRef>
                </c:ext>
              </c:extLst>
              <c:f>Serviço!$C$86:$N$86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E6B9-4CA2-B8C7-6AAB8408DF5E}"/>
            </c:ext>
          </c:extLst>
        </c:ser>
        <c:ser>
          <c:idx val="7"/>
          <c:order val="7"/>
          <c:tx>
            <c:strRef>
              <c:f>Serviço!$B$88</c:f>
              <c:strCache>
                <c:ptCount val="1"/>
                <c:pt idx="0">
                  <c:v>MOP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numRef>
              <c:extLst>
                <c:ext xmlns:c15="http://schemas.microsoft.com/office/drawing/2012/chart" uri="{02D57815-91ED-43cb-92C2-25804820EDAC}">
                  <c15:fullRef>
                    <c15:sqref>Serviço!$C$79:$P$79</c15:sqref>
                  </c15:fullRef>
                </c:ext>
              </c:extLst>
              <c:f>Serviço!$C$79:$N$79</c:f>
              <c:numCache>
                <c:formatCode>General</c:formatCode>
                <c:ptCount val="12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Serviço!$C$87:$P$87</c15:sqref>
                  </c15:fullRef>
                </c:ext>
              </c:extLst>
              <c:f>Serviço!$C$87:$N$87</c:f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A-E6B9-4CA2-B8C7-6AAB8408DF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7222415"/>
        <c:axId val="37217839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Serviço!$B$83</c15:sqref>
                        </c15:formulaRef>
                      </c:ext>
                    </c:extLst>
                    <c:strCache>
                      <c:ptCount val="1"/>
                      <c:pt idx="0">
                        <c:v>% DELIVERY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cat>
                  <c:numRef>
                    <c:extLst>
                      <c:ext uri="{02D57815-91ED-43cb-92C2-25804820EDAC}">
                        <c15:fullRef>
                          <c15:sqref>Serviço!$C$79:$P$79</c15:sqref>
                        </c15:fullRef>
                        <c15:formulaRef>
                          <c15:sqref>Serviço!$C$79:$N$79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Serviço!$C$82:$P$82</c15:sqref>
                        </c15:fullRef>
                        <c15:formulaRef>
                          <c15:sqref>Serviço!$C$82:$N$82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84519</c:v>
                      </c:pt>
                      <c:pt idx="1">
                        <c:v>65465</c:v>
                      </c:pt>
                      <c:pt idx="2">
                        <c:v>81486</c:v>
                      </c:pt>
                      <c:pt idx="3">
                        <c:v>69722</c:v>
                      </c:pt>
                      <c:pt idx="4">
                        <c:v>80996</c:v>
                      </c:pt>
                      <c:pt idx="5">
                        <c:v>81485</c:v>
                      </c:pt>
                      <c:pt idx="6">
                        <c:v>81004</c:v>
                      </c:pt>
                      <c:pt idx="7">
                        <c:v>84656</c:v>
                      </c:pt>
                      <c:pt idx="8">
                        <c:v>80057</c:v>
                      </c:pt>
                      <c:pt idx="9">
                        <c:v>83675</c:v>
                      </c:pt>
                      <c:pt idx="10">
                        <c:v>87136</c:v>
                      </c:pt>
                      <c:pt idx="11">
                        <c:v>30942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7-E6B9-4CA2-B8C7-6AAB8408DF5E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Serviço!$B$84</c15:sqref>
                        </c15:formulaRef>
                      </c:ext>
                    </c:extLst>
                    <c:strCache>
                      <c:ptCount val="1"/>
                      <c:pt idx="0">
                        <c:v>SALA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/>
                    </a:solidFill>
                    <a:ln w="9525">
                      <a:solidFill>
                        <a:schemeClr val="accent4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Serviço!$C$79:$P$79</c15:sqref>
                        </c15:fullRef>
                        <c15:formulaRef>
                          <c15:sqref>Serviço!$C$79:$N$79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Serviço!$C$83:$P$83</c15:sqref>
                        </c15:fullRef>
                        <c15:formulaRef>
                          <c15:sqref>Serviço!$C$83:$N$83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0.536983150778927</c:v>
                      </c:pt>
                      <c:pt idx="1">
                        <c:v>0.45728555462419668</c:v>
                      </c:pt>
                      <c:pt idx="2">
                        <c:v>0.53200407395800686</c:v>
                      </c:pt>
                      <c:pt idx="3">
                        <c:v>0.48797933916110836</c:v>
                      </c:pt>
                      <c:pt idx="4">
                        <c:v>0.50004012865865333</c:v>
                      </c:pt>
                      <c:pt idx="5">
                        <c:v>0.51218147761700628</c:v>
                      </c:pt>
                      <c:pt idx="6">
                        <c:v>0.49010164569215875</c:v>
                      </c:pt>
                      <c:pt idx="7">
                        <c:v>0.5023081396038781</c:v>
                      </c:pt>
                      <c:pt idx="8">
                        <c:v>0.51477973469138427</c:v>
                      </c:pt>
                      <c:pt idx="9">
                        <c:v>0.51753463631865415</c:v>
                      </c:pt>
                      <c:pt idx="10">
                        <c:v>0.53545707052085634</c:v>
                      </c:pt>
                      <c:pt idx="11">
                        <c:v>0.53937872607467841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6B9-4CA2-B8C7-6AAB8408DF5E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Serviço!$B$85</c15:sqref>
                        </c15:formulaRef>
                      </c:ext>
                    </c:extLst>
                    <c:strCache>
                      <c:ptCount val="1"/>
                      <c:pt idx="0">
                        <c:v>% SALA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/>
                    </a:solidFill>
                    <a:ln w="9525">
                      <a:solidFill>
                        <a:schemeClr val="accent5"/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Serviço!$C$79:$P$79</c15:sqref>
                        </c15:fullRef>
                        <c15:formulaRef>
                          <c15:sqref>Serviço!$C$79:$N$79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Serviço!$C$84:$P$84</c15:sqref>
                        </c15:fullRef>
                        <c15:formulaRef>
                          <c15:sqref>Serviço!$C$84:$N$84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72877</c:v>
                      </c:pt>
                      <c:pt idx="1">
                        <c:v>77695</c:v>
                      </c:pt>
                      <c:pt idx="2">
                        <c:v>71682</c:v>
                      </c:pt>
                      <c:pt idx="3">
                        <c:v>73157</c:v>
                      </c:pt>
                      <c:pt idx="4">
                        <c:v>80983</c:v>
                      </c:pt>
                      <c:pt idx="5">
                        <c:v>77609</c:v>
                      </c:pt>
                      <c:pt idx="6">
                        <c:v>84276</c:v>
                      </c:pt>
                      <c:pt idx="7">
                        <c:v>83878</c:v>
                      </c:pt>
                      <c:pt idx="8">
                        <c:v>75460</c:v>
                      </c:pt>
                      <c:pt idx="9">
                        <c:v>78005</c:v>
                      </c:pt>
                      <c:pt idx="10">
                        <c:v>75596</c:v>
                      </c:pt>
                      <c:pt idx="11">
                        <c:v>26424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6B9-4CA2-B8C7-6AAB8408DF5E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Serviço!$B$89</c15:sqref>
                        </c15:formulaRef>
                      </c:ext>
                    </c:extLst>
                    <c:strCache>
                      <c:ptCount val="1"/>
                      <c:pt idx="0">
                        <c:v>% MOP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Serviço!$C$79:$P$79</c15:sqref>
                        </c15:fullRef>
                        <c15:formulaRef>
                          <c15:sqref>Serviço!$C$79:$N$79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Serviço!$C$88:$P$88</c15:sqref>
                        </c15:fullRef>
                        <c15:formulaRef>
                          <c15:sqref>Serviço!$C$88:$N$88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1048</c:v>
                      </c:pt>
                      <c:pt idx="1">
                        <c:v>458</c:v>
                      </c:pt>
                      <c:pt idx="2">
                        <c:v>640</c:v>
                      </c:pt>
                      <c:pt idx="3">
                        <c:v>834</c:v>
                      </c:pt>
                      <c:pt idx="4">
                        <c:v>1043</c:v>
                      </c:pt>
                      <c:pt idx="5">
                        <c:v>790</c:v>
                      </c:pt>
                      <c:pt idx="6">
                        <c:v>803</c:v>
                      </c:pt>
                      <c:pt idx="7">
                        <c:v>999</c:v>
                      </c:pt>
                      <c:pt idx="8">
                        <c:v>913</c:v>
                      </c:pt>
                      <c:pt idx="9">
                        <c:v>597</c:v>
                      </c:pt>
                      <c:pt idx="10">
                        <c:v>563</c:v>
                      </c:pt>
                      <c:pt idx="11">
                        <c:v>412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E6B9-4CA2-B8C7-6AAB8408DF5E}"/>
                  </c:ext>
                </c:extLst>
              </c15:ser>
            </c15:filteredLineSeries>
          </c:ext>
        </c:extLst>
      </c:lineChart>
      <c:catAx>
        <c:axId val="372224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217839"/>
        <c:crosses val="autoZero"/>
        <c:auto val="1"/>
        <c:lblAlgn val="ctr"/>
        <c:lblOffset val="100"/>
        <c:noMultiLvlLbl val="0"/>
      </c:catAx>
      <c:valAx>
        <c:axId val="372178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2224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cap="all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Divisão de vendas Amadora</a:t>
            </a:r>
          </a:p>
        </c:rich>
      </c:tx>
      <c:layout>
        <c:manualLayout>
          <c:xMode val="edge"/>
          <c:yMode val="edge"/>
          <c:x val="0.21797258265648392"/>
          <c:y val="2.687570936706646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cap="all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pieChart>
        <c:varyColors val="1"/>
        <c:ser>
          <c:idx val="12"/>
          <c:order val="12"/>
          <c:tx>
            <c:strRef>
              <c:f>Serviço!$O$69</c:f>
              <c:strCache>
                <c:ptCount val="1"/>
                <c:pt idx="0">
                  <c:v>YTD</c:v>
                </c:pt>
              </c:strCache>
            </c:strRef>
          </c:tx>
          <c:dPt>
            <c:idx val="0"/>
            <c:bubble3D val="0"/>
            <c:spPr>
              <a:solidFill>
                <a:schemeClr val="accent1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54AB-4EF1-B353-3DFCCFCFEB2C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54AB-4EF1-B353-3DFCCFCFEB2C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>
                <a:noFill/>
              </a:ln>
              <a:effectLst/>
              <a:scene3d>
                <a:camera prst="orthographicFront"/>
                <a:lightRig rig="brightRoom" dir="t"/>
              </a:scene3d>
              <a:sp3d prstMaterial="flat">
                <a:bevelT w="50800" h="101600" prst="angle"/>
                <a:contourClr>
                  <a:srgbClr val="000000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67-94A5-421D-8D3C-5129F93A0454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1"/>
            <c:leaderLines>
              <c:spPr>
                <a:ln w="9525" cap="flat" cmpd="sng" algn="ctr">
                  <a:solidFill>
                    <a:schemeClr val="tx1">
                      <a:lumMod val="35000"/>
                      <a:lumOff val="65000"/>
                    </a:schemeClr>
                  </a:solidFill>
                  <a:round/>
                </a:ln>
                <a:effectLst/>
              </c:spPr>
            </c:leaderLines>
            <c:extLst>
              <c:ext xmlns:c15="http://schemas.microsoft.com/office/drawing/2012/chart" uri="{CE6537A1-D6FC-4f65-9D91-7224C49458BB}"/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Serviço!$B$70:$B$78</c15:sqref>
                  </c15:fullRef>
                </c:ext>
              </c:extLst>
              <c:f>(Serviço!$B$71,Serviço!$B$73:$B$77)</c:f>
              <c:strCache>
                <c:ptCount val="3"/>
                <c:pt idx="0">
                  <c:v>DELIVERY</c:v>
                </c:pt>
                <c:pt idx="1">
                  <c:v>SALA</c:v>
                </c:pt>
                <c:pt idx="2">
                  <c:v>MOP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Serviço!$O$70:$O$78</c15:sqref>
                  </c15:fullRef>
                </c:ext>
              </c:extLst>
              <c:f>(Serviço!$O$71,Serviço!$O$73:$O$77)</c:f>
              <c:numCache>
                <c:formatCode>_-* #\ ##0\ "€"_-;\-* #\ ##0\ "€"_-;_-* "-"??\ "€"_-;_-@_-</c:formatCode>
                <c:ptCount val="3"/>
                <c:pt idx="0">
                  <c:v>1514827</c:v>
                </c:pt>
                <c:pt idx="1">
                  <c:v>1417570</c:v>
                </c:pt>
                <c:pt idx="2">
                  <c:v>9284</c:v>
                </c:pt>
              </c:numCache>
            </c:numRef>
          </c:val>
          <c:extLst>
            <c:ext xmlns:c15="http://schemas.microsoft.com/office/drawing/2012/chart" uri="{02D57815-91ED-43cb-92C2-25804820EDAC}">
              <c15:categoryFilterExceptions/>
            </c:ext>
            <c:ext xmlns:c16="http://schemas.microsoft.com/office/drawing/2014/chart" uri="{C3380CC4-5D6E-409C-BE32-E72D297353CC}">
              <c16:uniqueId val="{00000006-54AB-4EF1-B353-3DFCCFCFEB2C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  <c:showLeaderLines val="1"/>
        </c:dLbls>
        <c:firstSliceAng val="0"/>
        <c:extLst>
          <c:ext xmlns:c15="http://schemas.microsoft.com/office/drawing/2012/chart" uri="{02D57815-91ED-43cb-92C2-25804820EDAC}">
            <c15:filteredPi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Serviço!$C$69</c15:sqref>
                        </c15:formulaRef>
                      </c:ext>
                    </c:extLst>
                    <c:strCache>
                      <c:ptCount val="1"/>
                      <c:pt idx="0">
                        <c:v>Jan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8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0A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F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Serviço!$C$70:$C$78</c15:sqref>
                        </c15:fullRef>
                        <c15:formulaRef>
                          <c15:sqref>(Serviço!$C$71,Serviço!$C$73:$C$77)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172283</c:v>
                      </c:pt>
                      <c:pt idx="1">
                        <c:v>116662</c:v>
                      </c:pt>
                      <c:pt idx="2">
                        <c:v>1090</c:v>
                      </c:pt>
                    </c:numCache>
                  </c:numRef>
                </c:val>
                <c:extLst>
                  <c:ext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0D-54AB-4EF1-B353-3DFCCFCFEB2C}"/>
                  </c:ext>
                </c:extLst>
              </c15:ser>
            </c15:filteredPieSeries>
            <c15:filteredPi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Serviço!$D$69</c15:sqref>
                        </c15:formulaRef>
                      </c:ext>
                    </c:extLst>
                    <c:strCache>
                      <c:ptCount val="1"/>
                      <c:pt idx="0">
                        <c:v>Fev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0F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1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1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Serviço!$D$70:$D$78</c15:sqref>
                        </c15:fullRef>
                        <c15:formulaRef>
                          <c15:sqref>(Serviço!$D$71,Serviço!$D$73:$D$77)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128204</c:v>
                      </c:pt>
                      <c:pt idx="1">
                        <c:v>125959</c:v>
                      </c:pt>
                      <c:pt idx="2">
                        <c:v>631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4-54AB-4EF1-B353-3DFCCFCFEB2C}"/>
                  </c:ext>
                </c:extLst>
              </c15:ser>
            </c15:filteredPieSeries>
            <c15:filteredPi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Serviço!$E$69</c15:sqref>
                        </c15:formulaRef>
                      </c:ext>
                    </c:extLst>
                    <c:strCache>
                      <c:ptCount val="1"/>
                      <c:pt idx="0">
                        <c:v>Mar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6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8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3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Serviço!$E$70:$E$78</c15:sqref>
                        </c15:fullRef>
                        <c15:formulaRef>
                          <c15:sqref>(Serviço!$E$71,Serviço!$E$73:$E$77)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157457</c:v>
                      </c:pt>
                      <c:pt idx="1">
                        <c:v>123075</c:v>
                      </c:pt>
                      <c:pt idx="2">
                        <c:v>1021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1B-54AB-4EF1-B353-3DFCCFCFEB2C}"/>
                  </c:ext>
                </c:extLst>
              </c15:ser>
            </c15:filteredPieSeries>
            <c15:filteredPi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Serviço!$F$69</c15:sqref>
                        </c15:formulaRef>
                      </c:ext>
                    </c:extLst>
                    <c:strCache>
                      <c:ptCount val="1"/>
                      <c:pt idx="0">
                        <c:v>Abr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1D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1F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5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Serviço!$F$70:$F$78</c15:sqref>
                        </c15:fullRef>
                        <c15:formulaRef>
                          <c15:sqref>(Serviço!$F$71,Serviço!$F$73:$F$77)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121125</c:v>
                      </c:pt>
                      <c:pt idx="1">
                        <c:v>126133</c:v>
                      </c:pt>
                      <c:pt idx="2">
                        <c:v>711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2-54AB-4EF1-B353-3DFCCFCFEB2C}"/>
                  </c:ext>
                </c:extLst>
              </c15:ser>
            </c15:filteredPieSeries>
            <c15:filteredPi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Serviço!$G$69</c15:sqref>
                        </c15:formulaRef>
                      </c:ext>
                    </c:extLst>
                    <c:strCache>
                      <c:ptCount val="1"/>
                      <c:pt idx="0">
                        <c:v>Mai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4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6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7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Serviço!$G$70:$G$78</c15:sqref>
                        </c15:fullRef>
                        <c15:formulaRef>
                          <c15:sqref>(Serviço!$G$71,Serviço!$G$73:$G$77)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131076</c:v>
                      </c:pt>
                      <c:pt idx="1">
                        <c:v>120521</c:v>
                      </c:pt>
                      <c:pt idx="2">
                        <c:v>976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29-54AB-4EF1-B353-3DFCCFCFEB2C}"/>
                  </c:ext>
                </c:extLst>
              </c15:ser>
            </c15:filteredPieSeries>
            <c15:filteredPi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Serviço!$H$69</c15:sqref>
                        </c15:formulaRef>
                      </c:ext>
                    </c:extLst>
                    <c:strCache>
                      <c:ptCount val="1"/>
                      <c:pt idx="0">
                        <c:v>Jun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2B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2D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9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Serviço!$H$70:$H$78</c15:sqref>
                        </c15:fullRef>
                        <c15:formulaRef>
                          <c15:sqref>(Serviço!$H$71,Serviço!$H$73:$H$77)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128943</c:v>
                      </c:pt>
                      <c:pt idx="1">
                        <c:v>123454</c:v>
                      </c:pt>
                      <c:pt idx="2">
                        <c:v>841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0-54AB-4EF1-B353-3DFCCFCFEB2C}"/>
                  </c:ext>
                </c:extLst>
              </c15:ser>
            </c15:filteredPieSeries>
            <c15:filteredPi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Serviço!$I$69</c15:sqref>
                        </c15:formulaRef>
                      </c:ext>
                    </c:extLst>
                    <c:strCache>
                      <c:ptCount val="1"/>
                      <c:pt idx="0">
                        <c:v>Jul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2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4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B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Serviço!$I$70:$I$78</c15:sqref>
                        </c15:fullRef>
                        <c15:formulaRef>
                          <c15:sqref>(Serviço!$I$71,Serviço!$I$73:$I$77)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126406</c:v>
                      </c:pt>
                      <c:pt idx="1">
                        <c:v>142522</c:v>
                      </c:pt>
                      <c:pt idx="2">
                        <c:v>970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7-54AB-4EF1-B353-3DFCCFCFEB2C}"/>
                  </c:ext>
                </c:extLst>
              </c15:ser>
            </c15:filteredPieSeries>
            <c15:filteredPi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Serviço!$J$69</c15:sqref>
                        </c15:formulaRef>
                      </c:ext>
                    </c:extLst>
                    <c:strCache>
                      <c:ptCount val="1"/>
                      <c:pt idx="0">
                        <c:v>Ago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39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3B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D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Serviço!$J$70:$J$78</c15:sqref>
                        </c15:fullRef>
                        <c15:formulaRef>
                          <c15:sqref>(Serviço!$J$71,Serviço!$J$73:$J$77)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124607</c:v>
                      </c:pt>
                      <c:pt idx="1">
                        <c:v>161806</c:v>
                      </c:pt>
                      <c:pt idx="2">
                        <c:v>633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3E-54AB-4EF1-B353-3DFCCFCFEB2C}"/>
                  </c:ext>
                </c:extLst>
              </c15:ser>
            </c15:filteredPieSeries>
            <c15:filteredPi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Serviço!$K$69</c15:sqref>
                        </c15:formulaRef>
                      </c:ext>
                    </c:extLst>
                    <c:strCache>
                      <c:ptCount val="1"/>
                      <c:pt idx="0">
                        <c:v>Set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0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2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F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Serviço!$K$70:$K$78</c15:sqref>
                        </c15:fullRef>
                        <c15:formulaRef>
                          <c15:sqref>(Serviço!$K$71,Serviço!$K$73:$K$77)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127604</c:v>
                      </c:pt>
                      <c:pt idx="1">
                        <c:v>119144</c:v>
                      </c:pt>
                      <c:pt idx="2">
                        <c:v>751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5-54AB-4EF1-B353-3DFCCFCFEB2C}"/>
                  </c:ext>
                </c:extLst>
              </c15:ser>
            </c15:filteredPieSeries>
            <c15:filteredPi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Serviço!$L$69</c15:sqref>
                        </c15:formulaRef>
                      </c:ext>
                    </c:extLst>
                    <c:strCache>
                      <c:ptCount val="1"/>
                      <c:pt idx="0">
                        <c:v>Out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7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49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1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Serviço!$L$70:$L$78</c15:sqref>
                        </c15:fullRef>
                        <c15:formulaRef>
                          <c15:sqref>(Serviço!$L$71,Serviço!$L$73:$L$77)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122774</c:v>
                      </c:pt>
                      <c:pt idx="1">
                        <c:v>113467</c:v>
                      </c:pt>
                      <c:pt idx="2">
                        <c:v>783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4C-54AB-4EF1-B353-3DFCCFCFEB2C}"/>
                  </c:ext>
                </c:extLst>
              </c15:ser>
            </c15:filteredPieSeries>
            <c15:filteredPi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Serviço!$M$69</c15:sqref>
                        </c15:formulaRef>
                      </c:ext>
                    </c:extLst>
                    <c:strCache>
                      <c:ptCount val="1"/>
                      <c:pt idx="0">
                        <c:v>Nov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4E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0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3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Serviço!$M$70:$M$78</c15:sqref>
                        </c15:fullRef>
                        <c15:formulaRef>
                          <c15:sqref>(Serviço!$M$71,Serviço!$M$73:$M$77)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129060</c:v>
                      </c:pt>
                      <c:pt idx="1">
                        <c:v>107136</c:v>
                      </c:pt>
                      <c:pt idx="2">
                        <c:v>661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3-54AB-4EF1-B353-3DFCCFCFEB2C}"/>
                  </c:ext>
                </c:extLst>
              </c15:ser>
            </c15:filteredPieSeries>
            <c15:filteredPi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Serviço!$N$69</c15:sqref>
                        </c15:formulaRef>
                      </c:ext>
                    </c:extLst>
                    <c:strCache>
                      <c:ptCount val="1"/>
                      <c:pt idx="0">
                        <c:v>Dez</c:v>
                      </c:pt>
                    </c:strCache>
                  </c:strRef>
                </c:tx>
                <c:dPt>
                  <c:idx val="0"/>
                  <c:bubble3D val="0"/>
                  <c:spPr>
                    <a:solidFill>
                      <a:schemeClr val="accent1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 xmlns:c15="http://schemas.microsoft.com/office/drawing/2012/chart">
                    <c:ext xmlns:c16="http://schemas.microsoft.com/office/drawing/2014/chart" uri="{C3380CC4-5D6E-409C-BE32-E72D297353CC}">
                      <c16:uniqueId val="{00000055-54AB-4EF1-B353-3DFCCFCFEB2C}"/>
                    </c:ext>
                  </c:extLst>
                </c:dPt>
                <c:dPt>
                  <c:idx val="1"/>
                  <c:bubble3D val="0"/>
                  <c:spPr>
                    <a:solidFill>
                      <a:schemeClr val="accent2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57-54AB-4EF1-B353-3DFCCFCFEB2C}"/>
                    </c:ext>
                  </c:extLst>
                </c:dPt>
                <c:dPt>
                  <c:idx val="2"/>
                  <c:bubble3D val="0"/>
                  <c:spPr>
                    <a:solidFill>
                      <a:schemeClr val="accent3"/>
                    </a:solidFill>
                    <a:ln>
                      <a:noFill/>
                    </a:ln>
                    <a:effectLst/>
                    <a:scene3d>
                      <a:camera prst="orthographicFront"/>
                      <a:lightRig rig="brightRoom" dir="t"/>
                    </a:scene3d>
                    <a:sp3d prstMaterial="flat">
                      <a:bevelT w="50800" h="101600" prst="angle"/>
                      <a:contourClr>
                        <a:srgbClr val="000000"/>
                      </a:contourClr>
                    </a:sp3d>
                  </c:spPr>
                  <c:extLst>
                    <c:ext xmlns:c16="http://schemas.microsoft.com/office/drawing/2014/chart" uri="{C3380CC4-5D6E-409C-BE32-E72D297353CC}">
                      <c16:uniqueId val="{00000065-94A5-421D-8D3C-5129F93A0454}"/>
                    </c:ext>
                  </c:extLst>
                </c:dPt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1"/>
                  <c:leaderLines>
                    <c:spPr>
                      <a:ln w="9525" cap="flat" cmpd="sng" algn="ctr">
                        <a:solidFill>
                          <a:schemeClr val="tx1">
                            <a:lumMod val="35000"/>
                            <a:lumOff val="65000"/>
                          </a:schemeClr>
                        </a:solidFill>
                        <a:round/>
                      </a:ln>
                      <a:effectLst/>
                    </c:spPr>
                  </c:leaderLines>
                  <c:extLst xmlns:c15="http://schemas.microsoft.com/office/drawing/2012/chart">
                    <c:ext xmlns:c15="http://schemas.microsoft.com/office/drawing/2012/chart" uri="{CE6537A1-D6FC-4f65-9D91-7224C49458BB}"/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Serviço!$B$70:$B$78</c15:sqref>
                        </c15:fullRef>
                        <c15:formulaRef>
                          <c15:sqref>(Serviço!$B$71,Serviço!$B$73:$B$77)</c15:sqref>
                        </c15:formulaRef>
                      </c:ext>
                    </c:extLst>
                    <c:strCache>
                      <c:ptCount val="3"/>
                      <c:pt idx="0">
                        <c:v>DELIVERY</c:v>
                      </c:pt>
                      <c:pt idx="1">
                        <c:v>SALA</c:v>
                      </c:pt>
                      <c:pt idx="2">
                        <c:v>MOP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Serviço!$N$70:$N$78</c15:sqref>
                        </c15:fullRef>
                        <c15:formulaRef>
                          <c15:sqref>(Serviço!$N$71,Serviço!$N$73:$N$77)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3"/>
                      <c:pt idx="0">
                        <c:v>45288</c:v>
                      </c:pt>
                      <c:pt idx="1">
                        <c:v>37691</c:v>
                      </c:pt>
                      <c:pt idx="2">
                        <c:v>216</c:v>
                      </c:pt>
                    </c:numCache>
                  </c:numRef>
                </c:val>
                <c:extLst xmlns:c15="http://schemas.microsoft.com/office/drawing/2012/chart">
                  <c:ext xmlns:c15="http://schemas.microsoft.com/office/drawing/2012/chart" uri="{02D57815-91ED-43cb-92C2-25804820EDAC}">
                    <c15:categoryFilterExceptions/>
                  </c:ext>
                  <c:ext xmlns:c16="http://schemas.microsoft.com/office/drawing/2014/chart" uri="{C3380CC4-5D6E-409C-BE32-E72D297353CC}">
                    <c16:uniqueId val="{0000005A-54AB-4EF1-B353-3DFCCFCFEB2C}"/>
                  </c:ext>
                </c:extLst>
              </c15:ser>
            </c15:filteredPieSeries>
          </c:ext>
        </c:extLst>
      </c:pieChart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>
        <c:manualLayout>
          <c:layoutTarget val="inner"/>
          <c:xMode val="edge"/>
          <c:yMode val="edge"/>
          <c:x val="8.115049733746911E-2"/>
          <c:y val="8.1509891908672694E-2"/>
          <c:w val="0.8966272965879265"/>
          <c:h val="0.77174431321084869"/>
        </c:manualLayout>
      </c:layout>
      <c:lineChart>
        <c:grouping val="standard"/>
        <c:varyColors val="0"/>
        <c:ser>
          <c:idx val="5"/>
          <c:order val="5"/>
          <c:tx>
            <c:strRef>
              <c:f>Serviço!$B$63</c:f>
              <c:strCache>
                <c:ptCount val="1"/>
                <c:pt idx="0">
                  <c:v>TEMPOS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6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Serviço!$C$55:$O$55</c15:sqref>
                  </c15:fullRef>
                </c:ext>
              </c:extLst>
              <c:f>Serviço!$C$55:$M$55</c:f>
              <c:numCache>
                <c:formatCode>General</c:formatCode>
                <c:ptCount val="11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Serviço!$C$62:$O$62</c15:sqref>
                  </c15:fullRef>
                </c:ext>
              </c:extLst>
              <c:f>Serviço!$C$62:$M$62</c:f>
              <c:numCache>
                <c:formatCode>General</c:formatCode>
                <c:ptCount val="11"/>
                <c:pt idx="0">
                  <c:v>4.0999999999999996</c:v>
                </c:pt>
                <c:pt idx="1">
                  <c:v>3.9</c:v>
                </c:pt>
                <c:pt idx="2">
                  <c:v>4</c:v>
                </c:pt>
                <c:pt idx="3">
                  <c:v>4.3</c:v>
                </c:pt>
                <c:pt idx="4">
                  <c:v>4.2</c:v>
                </c:pt>
                <c:pt idx="5">
                  <c:v>4.3</c:v>
                </c:pt>
                <c:pt idx="6">
                  <c:v>3.9</c:v>
                </c:pt>
                <c:pt idx="7">
                  <c:v>4.0999999999999996</c:v>
                </c:pt>
                <c:pt idx="8">
                  <c:v>4.2</c:v>
                </c:pt>
                <c:pt idx="9">
                  <c:v>4.0999999999999996</c:v>
                </c:pt>
                <c:pt idx="10">
                  <c:v>4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B8FF-4780-A9F5-0795809665E1}"/>
            </c:ext>
          </c:extLst>
        </c:ser>
        <c:ser>
          <c:idx val="7"/>
          <c:order val="7"/>
          <c:tx>
            <c:strRef>
              <c:f>Serviço!$B$66</c:f>
              <c:strCache>
                <c:ptCount val="1"/>
                <c:pt idx="0">
                  <c:v>TEMPO TOTAL</c:v>
                </c:pt>
              </c:strCache>
              <c:extLst xmlns:c15="http://schemas.microsoft.com/office/drawing/2012/chart"/>
            </c:strRef>
          </c:tx>
          <c:spPr>
            <a:ln w="2222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dot"/>
            <c:size val="6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  <a:round/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numRef>
              <c:extLst>
                <c:ext xmlns:c15="http://schemas.microsoft.com/office/drawing/2012/chart" uri="{02D57815-91ED-43cb-92C2-25804820EDAC}">
                  <c15:fullRef>
                    <c15:sqref>Serviço!$C$55:$O$55</c15:sqref>
                  </c15:fullRef>
                </c:ext>
              </c:extLst>
              <c:f>Serviço!$C$55:$M$55</c:f>
              <c:numCache>
                <c:formatCode>General</c:formatCode>
                <c:ptCount val="11"/>
              </c:numCache>
            </c:num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Serviço!$C$65:$O$65</c15:sqref>
                  </c15:fullRef>
                </c:ext>
              </c:extLst>
              <c:f>Serviço!$C$65:$M$65</c:f>
              <c:numCache>
                <c:formatCode>0%</c:formatCode>
                <c:ptCount val="11"/>
                <c:pt idx="2">
                  <c:v>0.73</c:v>
                </c:pt>
                <c:pt idx="3">
                  <c:v>0.73</c:v>
                </c:pt>
                <c:pt idx="4">
                  <c:v>0.75</c:v>
                </c:pt>
                <c:pt idx="5">
                  <c:v>0.77</c:v>
                </c:pt>
                <c:pt idx="6">
                  <c:v>0.78</c:v>
                </c:pt>
                <c:pt idx="7">
                  <c:v>0.75</c:v>
                </c:pt>
                <c:pt idx="8">
                  <c:v>0.77</c:v>
                </c:pt>
                <c:pt idx="9">
                  <c:v>0.76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8FF-4780-A9F5-0795809665E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marker val="1"/>
        <c:smooth val="0"/>
        <c:axId val="777324751"/>
        <c:axId val="777325167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Serviço!$B$57</c15:sqref>
                        </c15:formulaRef>
                      </c:ext>
                    </c:extLst>
                    <c:strCache>
                      <c:ptCount val="1"/>
                      <c:pt idx="0">
                        <c:v>ESTRELAS</c:v>
                      </c:pt>
                    </c:strCache>
                  </c:strRef>
                </c:tx>
                <c:spPr>
                  <a:ln w="2222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diamond"/>
                  <c:size val="6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Serviço!$C$55:$M$55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ullRef>
                          <c15:sqref>Serviço!$C$56:$O$56</c15:sqref>
                        </c15:fullRef>
                        <c15:formulaRef>
                          <c15:sqref>Serviço!$C$56:$M$56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B8FF-4780-A9F5-0795809665E1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Serviço!$B$58</c15:sqref>
                        </c15:formulaRef>
                      </c:ext>
                    </c:extLst>
                    <c:strCache>
                      <c:ptCount val="1"/>
                      <c:pt idx="0">
                        <c:v>TEMPOS</c:v>
                      </c:pt>
                    </c:strCache>
                  </c:strRef>
                </c:tx>
                <c:spPr>
                  <a:ln w="2222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square"/>
                  <c:size val="6"/>
                  <c:spPr>
                    <a:solidFill>
                      <a:schemeClr val="accent2"/>
                    </a:solidFill>
                    <a:ln w="9525">
                      <a:solidFill>
                        <a:schemeClr val="accent2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Serviço!$C$55:$M$55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Serviço!$C$57:$O$57</c15:sqref>
                        </c15:fullRef>
                        <c15:formulaRef>
                          <c15:sqref>Serviço!$C$57:$M$57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4.0999999999999996</c:v>
                      </c:pt>
                      <c:pt idx="1">
                        <c:v>4</c:v>
                      </c:pt>
                      <c:pt idx="2">
                        <c:v>4.0999999999999996</c:v>
                      </c:pt>
                      <c:pt idx="3">
                        <c:v>4.3</c:v>
                      </c:pt>
                      <c:pt idx="4">
                        <c:v>4.3</c:v>
                      </c:pt>
                      <c:pt idx="5">
                        <c:v>4.3</c:v>
                      </c:pt>
                      <c:pt idx="6">
                        <c:v>4.0999999999999996</c:v>
                      </c:pt>
                      <c:pt idx="7">
                        <c:v>4.0999999999999996</c:v>
                      </c:pt>
                      <c:pt idx="8">
                        <c:v>4.2</c:v>
                      </c:pt>
                      <c:pt idx="9">
                        <c:v>4.2</c:v>
                      </c:pt>
                      <c:pt idx="10">
                        <c:v>4.3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B8FF-4780-A9F5-0795809665E1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Serviço!$B$59</c15:sqref>
                        </c15:formulaRef>
                      </c:ext>
                    </c:extLst>
                    <c:strCache>
                      <c:ptCount val="1"/>
                      <c:pt idx="0">
                        <c:v>INEXATIDÃO</c:v>
                      </c:pt>
                    </c:strCache>
                  </c:strRef>
                </c:tx>
                <c:spPr>
                  <a:ln w="2222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triangle"/>
                  <c:size val="6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Serviço!$C$55:$M$55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Serviço!$C$58:$O$58</c15:sqref>
                        </c15:fullRef>
                        <c15:formulaRef>
                          <c15:sqref>Serviço!$C$58:$M$58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5.8</c:v>
                      </c:pt>
                      <c:pt idx="1">
                        <c:v>5</c:v>
                      </c:pt>
                      <c:pt idx="2">
                        <c:v>4.7</c:v>
                      </c:pt>
                      <c:pt idx="3">
                        <c:v>5.3</c:v>
                      </c:pt>
                      <c:pt idx="4">
                        <c:v>4.5</c:v>
                      </c:pt>
                      <c:pt idx="5">
                        <c:v>4.8</c:v>
                      </c:pt>
                      <c:pt idx="6">
                        <c:v>5.2</c:v>
                      </c:pt>
                      <c:pt idx="7">
                        <c:v>5.7</c:v>
                      </c:pt>
                      <c:pt idx="8">
                        <c:v>5.4</c:v>
                      </c:pt>
                      <c:pt idx="9">
                        <c:v>6.9</c:v>
                      </c:pt>
                      <c:pt idx="10">
                        <c:v>5.3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B8FF-4780-A9F5-0795809665E1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Serviço!$B$61</c15:sqref>
                        </c15:formulaRef>
                      </c:ext>
                    </c:extLst>
                    <c:strCache>
                      <c:ptCount val="1"/>
                      <c:pt idx="0">
                        <c:v>TEMPO TOTAL</c:v>
                      </c:pt>
                    </c:strCache>
                  </c:strRef>
                </c:tx>
                <c:spPr>
                  <a:ln w="2222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x"/>
                  <c:size val="6"/>
                  <c:spPr>
                    <a:noFill/>
                    <a:ln w="9525">
                      <a:solidFill>
                        <a:schemeClr val="accent4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Serviço!$C$55:$M$55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Serviço!$C$60:$O$60</c15:sqref>
                        </c15:fullRef>
                        <c15:formulaRef>
                          <c15:sqref>Serviço!$C$60:$M$60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2">
                        <c:v>0.79</c:v>
                      </c:pt>
                      <c:pt idx="3">
                        <c:v>0.8</c:v>
                      </c:pt>
                      <c:pt idx="4">
                        <c:v>0.8</c:v>
                      </c:pt>
                      <c:pt idx="5">
                        <c:v>0.81</c:v>
                      </c:pt>
                      <c:pt idx="6">
                        <c:v>0.81</c:v>
                      </c:pt>
                      <c:pt idx="7">
                        <c:v>0.79</c:v>
                      </c:pt>
                      <c:pt idx="8">
                        <c:v>0.78</c:v>
                      </c:pt>
                      <c:pt idx="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B8FF-4780-A9F5-0795809665E1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Serviço!$B$62</c15:sqref>
                        </c15:formulaRef>
                      </c:ext>
                    </c:extLst>
                    <c:strCache>
                      <c:ptCount val="1"/>
                      <c:pt idx="0">
                        <c:v>ESTRELAS</c:v>
                      </c:pt>
                    </c:strCache>
                  </c:strRef>
                </c:tx>
                <c:spPr>
                  <a:ln w="2222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star"/>
                  <c:size val="6"/>
                  <c:spPr>
                    <a:noFill/>
                    <a:ln w="9525">
                      <a:solidFill>
                        <a:schemeClr val="accent5"/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Serviço!$C$55:$M$55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Serviço!$C$61:$O$61</c15:sqref>
                        </c15:fullRef>
                        <c15:formulaRef>
                          <c15:sqref>Serviço!$C$61:$M$61</c15:sqref>
                        </c15:formulaRef>
                      </c:ext>
                    </c:extLst>
                    <c:numCache>
                      <c:formatCode>0.0</c:formatCode>
                      <c:ptCount val="11"/>
                      <c:pt idx="0">
                        <c:v>19.600000000000001</c:v>
                      </c:pt>
                      <c:pt idx="1">
                        <c:v>19.2</c:v>
                      </c:pt>
                      <c:pt idx="2">
                        <c:v>19.3</c:v>
                      </c:pt>
                      <c:pt idx="3">
                        <c:v>19.5</c:v>
                      </c:pt>
                      <c:pt idx="4">
                        <c:v>16.399999999999999</c:v>
                      </c:pt>
                      <c:pt idx="5">
                        <c:v>17.5</c:v>
                      </c:pt>
                      <c:pt idx="6">
                        <c:v>18.5</c:v>
                      </c:pt>
                      <c:pt idx="7">
                        <c:v>18.600000000000001</c:v>
                      </c:pt>
                      <c:pt idx="8">
                        <c:v>17.5</c:v>
                      </c:pt>
                      <c:pt idx="9">
                        <c:v>19.7</c:v>
                      </c:pt>
                      <c:pt idx="10">
                        <c:v>18.899999999999999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B8FF-4780-A9F5-0795809665E1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Serviço!$B$64</c15:sqref>
                        </c15:formulaRef>
                      </c:ext>
                    </c:extLst>
                    <c:strCache>
                      <c:ptCount val="1"/>
                      <c:pt idx="0">
                        <c:v>INEXATIDÃO</c:v>
                      </c:pt>
                    </c:strCache>
                  </c:strRef>
                </c:tx>
                <c:spPr>
                  <a:ln w="2222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plus"/>
                  <c:size val="6"/>
                  <c:spPr>
                    <a:noFill/>
                    <a:ln w="9525">
                      <a:solidFill>
                        <a:schemeClr val="accent1">
                          <a:lumMod val="60000"/>
                        </a:schemeClr>
                      </a:solidFill>
                      <a:round/>
                    </a:ln>
                    <a:effectLst/>
                  </c:spPr>
                </c:marker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50000"/>
                              <a:lumOff val="50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t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Serviço!$C$55:$O$55</c15:sqref>
                        </c15:fullRef>
                        <c15:formulaRef>
                          <c15:sqref>Serviço!$C$55:$M$55</c15:sqref>
                        </c15:formulaRef>
                      </c:ext>
                    </c:extLst>
                    <c:numCache>
                      <c:formatCode>General</c:formatCode>
                      <c:ptCount val="11"/>
                    </c:numCache>
                  </c:num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Serviço!$C$63:$O$63</c15:sqref>
                        </c15:fullRef>
                        <c15:formulaRef>
                          <c15:sqref>Serviço!$C$63:$M$63</c15:sqref>
                        </c15:formulaRef>
                      </c:ext>
                    </c:extLst>
                    <c:numCache>
                      <c:formatCode>General</c:formatCode>
                      <c:ptCount val="11"/>
                      <c:pt idx="0">
                        <c:v>5</c:v>
                      </c:pt>
                      <c:pt idx="1">
                        <c:v>5</c:v>
                      </c:pt>
                      <c:pt idx="2">
                        <c:v>5.2</c:v>
                      </c:pt>
                      <c:pt idx="3">
                        <c:v>5.3</c:v>
                      </c:pt>
                      <c:pt idx="4">
                        <c:v>5.2</c:v>
                      </c:pt>
                      <c:pt idx="5">
                        <c:v>5.6</c:v>
                      </c:pt>
                      <c:pt idx="6">
                        <c:v>6.5</c:v>
                      </c:pt>
                      <c:pt idx="7">
                        <c:v>6</c:v>
                      </c:pt>
                      <c:pt idx="8">
                        <c:v>5.6</c:v>
                      </c:pt>
                      <c:pt idx="9">
                        <c:v>5.3</c:v>
                      </c:pt>
                      <c:pt idx="10">
                        <c:v>5.9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B8FF-4780-A9F5-0795809665E1}"/>
                  </c:ext>
                </c:extLst>
              </c15:ser>
            </c15:filteredLineSeries>
          </c:ext>
        </c:extLst>
      </c:lineChart>
      <c:catAx>
        <c:axId val="77732475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cap="all" spc="12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77325167"/>
        <c:crosses val="autoZero"/>
        <c:auto val="1"/>
        <c:lblAlgn val="ctr"/>
        <c:lblOffset val="100"/>
        <c:noMultiLvlLbl val="0"/>
      </c:catAx>
      <c:valAx>
        <c:axId val="777325167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dk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77732475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lt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Serviço!$N$7</c:f>
              <c:strCache>
                <c:ptCount val="1"/>
                <c:pt idx="0">
                  <c:v>AMADORA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Serviço!$O$6:$AB$6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YTD</c:v>
                </c:pt>
                <c:pt idx="13">
                  <c:v>LY</c:v>
                </c:pt>
              </c:strCache>
            </c:strRef>
          </c:cat>
          <c:val>
            <c:numRef>
              <c:f>Serviço!$O$7:$AB$7</c:f>
              <c:numCache>
                <c:formatCode>General</c:formatCode>
                <c:ptCount val="14"/>
                <c:pt idx="0">
                  <c:v>116</c:v>
                </c:pt>
                <c:pt idx="1">
                  <c:v>115</c:v>
                </c:pt>
                <c:pt idx="2">
                  <c:v>122</c:v>
                </c:pt>
                <c:pt idx="3">
                  <c:v>128</c:v>
                </c:pt>
                <c:pt idx="4">
                  <c:v>132</c:v>
                </c:pt>
                <c:pt idx="5">
                  <c:v>134</c:v>
                </c:pt>
                <c:pt idx="6">
                  <c:v>151</c:v>
                </c:pt>
                <c:pt idx="7">
                  <c:v>158</c:v>
                </c:pt>
                <c:pt idx="8">
                  <c:v>133</c:v>
                </c:pt>
                <c:pt idx="9">
                  <c:v>152</c:v>
                </c:pt>
                <c:pt idx="10">
                  <c:v>128</c:v>
                </c:pt>
                <c:pt idx="12">
                  <c:v>116</c:v>
                </c:pt>
                <c:pt idx="13">
                  <c:v>118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16B-4049-B34D-B0C922D0C485}"/>
            </c:ext>
          </c:extLst>
        </c:ser>
        <c:ser>
          <c:idx val="1"/>
          <c:order val="1"/>
          <c:tx>
            <c:strRef>
              <c:f>Serviço!$N$8</c:f>
              <c:strCache>
                <c:ptCount val="1"/>
                <c:pt idx="0">
                  <c:v>QUELUZ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Serviço!$O$6:$AB$6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YTD</c:v>
                </c:pt>
                <c:pt idx="13">
                  <c:v>LY</c:v>
                </c:pt>
              </c:strCache>
            </c:strRef>
          </c:cat>
          <c:val>
            <c:numRef>
              <c:f>Serviço!$O$8:$AB$8</c:f>
              <c:numCache>
                <c:formatCode>General</c:formatCode>
                <c:ptCount val="14"/>
                <c:pt idx="0">
                  <c:v>100</c:v>
                </c:pt>
                <c:pt idx="1">
                  <c:v>102</c:v>
                </c:pt>
                <c:pt idx="2">
                  <c:v>101</c:v>
                </c:pt>
                <c:pt idx="3">
                  <c:v>101</c:v>
                </c:pt>
                <c:pt idx="4">
                  <c:v>101</c:v>
                </c:pt>
                <c:pt idx="5">
                  <c:v>107</c:v>
                </c:pt>
                <c:pt idx="6">
                  <c:v>135</c:v>
                </c:pt>
                <c:pt idx="7">
                  <c:v>113</c:v>
                </c:pt>
                <c:pt idx="8">
                  <c:v>99</c:v>
                </c:pt>
                <c:pt idx="9">
                  <c:v>104</c:v>
                </c:pt>
                <c:pt idx="10">
                  <c:v>122</c:v>
                </c:pt>
                <c:pt idx="12">
                  <c:v>103</c:v>
                </c:pt>
                <c:pt idx="13">
                  <c:v>100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E16B-4049-B34D-B0C922D0C485}"/>
            </c:ext>
          </c:extLst>
        </c:ser>
        <c:ser>
          <c:idx val="2"/>
          <c:order val="2"/>
          <c:tx>
            <c:strRef>
              <c:f>Serviço!$N$9</c:f>
              <c:strCache>
                <c:ptCount val="1"/>
                <c:pt idx="0">
                  <c:v>P.BORGES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Serviço!$O$6:$AB$6</c:f>
              <c:strCache>
                <c:ptCount val="14"/>
                <c:pt idx="0">
                  <c:v>Jan</c:v>
                </c:pt>
                <c:pt idx="1">
                  <c:v>fev</c:v>
                </c:pt>
                <c:pt idx="2">
                  <c:v>mar</c:v>
                </c:pt>
                <c:pt idx="3">
                  <c:v>Abr</c:v>
                </c:pt>
                <c:pt idx="4">
                  <c:v>Mai</c:v>
                </c:pt>
                <c:pt idx="5">
                  <c:v>Jun</c:v>
                </c:pt>
                <c:pt idx="6">
                  <c:v>Jul</c:v>
                </c:pt>
                <c:pt idx="7">
                  <c:v>Ago</c:v>
                </c:pt>
                <c:pt idx="8">
                  <c:v>Set</c:v>
                </c:pt>
                <c:pt idx="9">
                  <c:v>Out</c:v>
                </c:pt>
                <c:pt idx="10">
                  <c:v>Nov</c:v>
                </c:pt>
                <c:pt idx="11">
                  <c:v>Dez</c:v>
                </c:pt>
                <c:pt idx="12">
                  <c:v>YTD</c:v>
                </c:pt>
                <c:pt idx="13">
                  <c:v>LY</c:v>
                </c:pt>
              </c:strCache>
            </c:strRef>
          </c:cat>
          <c:val>
            <c:numRef>
              <c:f>Serviço!$O$9:$AB$9</c:f>
              <c:numCache>
                <c:formatCode>General</c:formatCode>
                <c:ptCount val="14"/>
                <c:pt idx="0">
                  <c:v>110</c:v>
                </c:pt>
                <c:pt idx="1">
                  <c:v>110</c:v>
                </c:pt>
                <c:pt idx="2">
                  <c:v>114</c:v>
                </c:pt>
                <c:pt idx="3">
                  <c:v>117</c:v>
                </c:pt>
                <c:pt idx="4">
                  <c:v>119</c:v>
                </c:pt>
                <c:pt idx="5">
                  <c:v>123</c:v>
                </c:pt>
                <c:pt idx="6">
                  <c:v>145</c:v>
                </c:pt>
                <c:pt idx="7">
                  <c:v>143</c:v>
                </c:pt>
                <c:pt idx="8">
                  <c:v>125</c:v>
                </c:pt>
                <c:pt idx="9">
                  <c:v>131</c:v>
                </c:pt>
                <c:pt idx="10">
                  <c:v>126</c:v>
                </c:pt>
                <c:pt idx="12">
                  <c:v>111</c:v>
                </c:pt>
                <c:pt idx="13">
                  <c:v>110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16B-4049-B34D-B0C922D0C485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59003823"/>
        <c:axId val="559003407"/>
      </c:barChart>
      <c:catAx>
        <c:axId val="55900382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9003407"/>
        <c:crosses val="autoZero"/>
        <c:auto val="1"/>
        <c:lblAlgn val="ctr"/>
        <c:lblOffset val="100"/>
        <c:noMultiLvlLbl val="0"/>
      </c:catAx>
      <c:valAx>
        <c:axId val="5590034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90038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PT"/>
              <a:t>Evolução das vendas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2"/>
          <c:order val="2"/>
          <c:tx>
            <c:strRef>
              <c:f>Serviço!$B$108</c:f>
              <c:strCache>
                <c:ptCount val="1"/>
                <c:pt idx="0">
                  <c:v>20 vs 2019</c:v>
                </c:pt>
              </c:strCache>
            </c:strRef>
          </c:tx>
          <c:spPr>
            <a:ln w="3810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Serviço!$C$104:$P$104</c:f>
              <c:numCache>
                <c:formatCode>General</c:formatCode>
                <c:ptCount val="14"/>
              </c:numCache>
            </c:numRef>
          </c:cat>
          <c:val>
            <c:numRef>
              <c:f>Serviço!$C$107:$P$107</c:f>
              <c:numCache>
                <c:formatCode>0.00%</c:formatCode>
                <c:ptCount val="14"/>
                <c:pt idx="0">
                  <c:v>0.32229999999999998</c:v>
                </c:pt>
                <c:pt idx="1">
                  <c:v>0.35049999999999998</c:v>
                </c:pt>
                <c:pt idx="2">
                  <c:v>0.18770000000000001</c:v>
                </c:pt>
                <c:pt idx="3">
                  <c:v>-0.12280000000000001</c:v>
                </c:pt>
                <c:pt idx="4">
                  <c:v>-0.16439999999999999</c:v>
                </c:pt>
                <c:pt idx="5">
                  <c:v>-0.15590000000000001</c:v>
                </c:pt>
                <c:pt idx="6">
                  <c:v>-0.1822</c:v>
                </c:pt>
                <c:pt idx="7">
                  <c:v>-0.19359999999999999</c:v>
                </c:pt>
                <c:pt idx="8">
                  <c:v>-0.1366</c:v>
                </c:pt>
                <c:pt idx="9">
                  <c:v>-0.2074</c:v>
                </c:pt>
                <c:pt idx="10">
                  <c:v>-0.21099999999999999</c:v>
                </c:pt>
                <c:pt idx="11">
                  <c:v>-0.1668</c:v>
                </c:pt>
                <c:pt idx="12">
                  <c:v>0.33350000000000002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943-4461-8FB4-4E2350C4F16A}"/>
            </c:ext>
          </c:extLst>
        </c:ser>
        <c:ser>
          <c:idx val="3"/>
          <c:order val="3"/>
          <c:tx>
            <c:strRef>
              <c:f>Serviço!$B$109</c:f>
              <c:strCache>
                <c:ptCount val="1"/>
                <c:pt idx="0">
                  <c:v>32 vs 2024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Serviço!$C$104:$P$104</c:f>
              <c:numCache>
                <c:formatCode>General</c:formatCode>
                <c:ptCount val="14"/>
              </c:numCache>
              <c:extLst xmlns:c15="http://schemas.microsoft.com/office/drawing/2012/chart"/>
            </c:numRef>
          </c:cat>
          <c:val>
            <c:numRef>
              <c:f>Serviço!$C$108:$P$108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3943-4461-8FB4-4E2350C4F16A}"/>
            </c:ext>
          </c:extLst>
        </c:ser>
        <c:ser>
          <c:idx val="5"/>
          <c:order val="5"/>
          <c:tx>
            <c:strRef>
              <c:f>Serviço!$B$111</c:f>
              <c:strCache>
                <c:ptCount val="1"/>
                <c:pt idx="0">
                  <c:v>32 vs 2023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Serviço!$C$104:$P$104</c:f>
              <c:numCache>
                <c:formatCode>General</c:formatCode>
                <c:ptCount val="14"/>
              </c:numCache>
            </c:numRef>
          </c:cat>
          <c:val>
            <c:numRef>
              <c:f>Serviço!$C$110:$P$110</c:f>
              <c:numCache>
                <c:formatCode>0.00%</c:formatCode>
                <c:ptCount val="14"/>
                <c:pt idx="0">
                  <c:v>0.14860000000000001</c:v>
                </c:pt>
                <c:pt idx="1">
                  <c:v>0.22639999999999999</c:v>
                </c:pt>
                <c:pt idx="2">
                  <c:v>4.4699999999999997E-2</c:v>
                </c:pt>
                <c:pt idx="3">
                  <c:v>0.1154</c:v>
                </c:pt>
                <c:pt idx="4">
                  <c:v>6.2399999999999997E-2</c:v>
                </c:pt>
                <c:pt idx="5">
                  <c:v>8.7999999999999995E-2</c:v>
                </c:pt>
                <c:pt idx="6">
                  <c:v>0.111</c:v>
                </c:pt>
                <c:pt idx="7">
                  <c:v>0.1123</c:v>
                </c:pt>
                <c:pt idx="8">
                  <c:v>0.1835</c:v>
                </c:pt>
                <c:pt idx="9">
                  <c:v>6.0999999999999999E-2</c:v>
                </c:pt>
                <c:pt idx="10">
                  <c:v>-1.11E-2</c:v>
                </c:pt>
                <c:pt idx="11">
                  <c:v>5.8400000000000001E-2</c:v>
                </c:pt>
                <c:pt idx="12">
                  <c:v>0.1648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943-4461-8FB4-4E2350C4F16A}"/>
            </c:ext>
          </c:extLst>
        </c:ser>
        <c:ser>
          <c:idx val="6"/>
          <c:order val="6"/>
          <c:tx>
            <c:strRef>
              <c:f>Serviço!$B$112</c:f>
              <c:strCache>
                <c:ptCount val="1"/>
                <c:pt idx="0">
                  <c:v>Nacional vs 2019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Serviço!$C$104:$P$104</c:f>
              <c:numCache>
                <c:formatCode>General</c:formatCode>
                <c:ptCount val="14"/>
              </c:numCache>
            </c:numRef>
          </c:cat>
          <c:val>
            <c:numRef>
              <c:f>Serviço!$C$111:$P$111</c:f>
            </c:numRef>
          </c:val>
          <c:smooth val="0"/>
          <c:extLst>
            <c:ext xmlns:c16="http://schemas.microsoft.com/office/drawing/2014/chart" uri="{C3380CC4-5D6E-409C-BE32-E72D297353CC}">
              <c16:uniqueId val="{00000002-3943-4461-8FB4-4E2350C4F1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20429775"/>
        <c:axId val="1220428943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Serviço!$B$106</c15:sqref>
                        </c15:formulaRef>
                      </c:ext>
                    </c:extLst>
                    <c:strCache>
                      <c:ptCount val="1"/>
                      <c:pt idx="0">
                        <c:v>20 vs 2024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Serviço!$C$104:$P$104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Serviço!$C$105:$P$105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3-3943-4461-8FB4-4E2350C4F16A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Serviço!$B$107</c15:sqref>
                        </c15:formulaRef>
                      </c:ext>
                    </c:extLst>
                    <c:strCache>
                      <c:ptCount val="1"/>
                      <c:pt idx="0">
                        <c:v>DELIVERY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Serviço!$C$104:$P$104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Serviço!$C$106:$P$106</c15:sqref>
                        </c15:formulaRef>
                      </c:ext>
                    </c:extLst>
                    <c:numCache>
                      <c:formatCode>0.00%</c:formatCode>
                      <c:ptCount val="14"/>
                      <c:pt idx="0">
                        <c:v>0.21340000000000001</c:v>
                      </c:pt>
                      <c:pt idx="1">
                        <c:v>0.2094</c:v>
                      </c:pt>
                      <c:pt idx="2">
                        <c:v>0.14349999999999999</c:v>
                      </c:pt>
                      <c:pt idx="3">
                        <c:v>-8.2199999999999995E-2</c:v>
                      </c:pt>
                      <c:pt idx="4">
                        <c:v>-0.113</c:v>
                      </c:pt>
                      <c:pt idx="5">
                        <c:v>-8.6999999999999994E-2</c:v>
                      </c:pt>
                      <c:pt idx="6">
                        <c:v>-0.13769999999999999</c:v>
                      </c:pt>
                      <c:pt idx="7">
                        <c:v>-6.9699999999999998E-2</c:v>
                      </c:pt>
                      <c:pt idx="8">
                        <c:v>-8.1699999999999995E-2</c:v>
                      </c:pt>
                      <c:pt idx="9">
                        <c:v>-0.12509999999999999</c:v>
                      </c:pt>
                      <c:pt idx="10">
                        <c:v>-0.1651</c:v>
                      </c:pt>
                      <c:pt idx="11">
                        <c:v>-0.1236</c:v>
                      </c:pt>
                      <c:pt idx="12">
                        <c:v>0.22359999999999999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3943-4461-8FB4-4E2350C4F16A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Serviço!$B$110</c15:sqref>
                        </c15:formulaRef>
                      </c:ext>
                    </c:extLst>
                    <c:strCache>
                      <c:ptCount val="1"/>
                      <c:pt idx="0">
                        <c:v>DELIVERY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Serviço!$C$104:$P$104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Serviço!$C$109:$P$109</c15:sqref>
                        </c15:formulaRef>
                      </c:ext>
                    </c:extLst>
                    <c:numCache>
                      <c:formatCode>0.00%</c:formatCode>
                      <c:ptCount val="14"/>
                      <c:pt idx="0">
                        <c:v>8.1900000000000001E-2</c:v>
                      </c:pt>
                      <c:pt idx="1">
                        <c:v>0.13789999999999999</c:v>
                      </c:pt>
                      <c:pt idx="2">
                        <c:v>3.1300000000000001E-2</c:v>
                      </c:pt>
                      <c:pt idx="3">
                        <c:v>5.9299999999999999E-2</c:v>
                      </c:pt>
                      <c:pt idx="4">
                        <c:v>6.2899999999999998E-2</c:v>
                      </c:pt>
                      <c:pt idx="5">
                        <c:v>7.6700000000000004E-2</c:v>
                      </c:pt>
                      <c:pt idx="6">
                        <c:v>5.8400000000000001E-2</c:v>
                      </c:pt>
                      <c:pt idx="7">
                        <c:v>8.6099999999999996E-2</c:v>
                      </c:pt>
                      <c:pt idx="8">
                        <c:v>0.1032</c:v>
                      </c:pt>
                      <c:pt idx="9">
                        <c:v>5.2699999999999997E-2</c:v>
                      </c:pt>
                      <c:pt idx="10">
                        <c:v>-2.7900000000000001E-2</c:v>
                      </c:pt>
                      <c:pt idx="11">
                        <c:v>3.3E-3</c:v>
                      </c:pt>
                      <c:pt idx="12">
                        <c:v>0.1091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3943-4461-8FB4-4E2350C4F16A}"/>
                  </c:ext>
                </c:extLst>
              </c15:ser>
            </c15:filteredLineSeries>
          </c:ext>
        </c:extLst>
      </c:lineChart>
      <c:catAx>
        <c:axId val="122042977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20428943"/>
        <c:crosses val="autoZero"/>
        <c:auto val="1"/>
        <c:lblAlgn val="ctr"/>
        <c:lblOffset val="100"/>
        <c:noMultiLvlLbl val="0"/>
      </c:catAx>
      <c:valAx>
        <c:axId val="122042894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22042977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0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j-lt"/>
                <a:ea typeface="+mj-ea"/>
                <a:cs typeface="+mj-cs"/>
              </a:defRPr>
            </a:pPr>
            <a:r>
              <a:rPr lang="pt-PT"/>
              <a:t>Evolução das GC's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000" b="0" i="0" u="none" strike="noStrike" kern="1200" cap="none" spc="0" normalizeH="0" baseline="0">
              <a:solidFill>
                <a:schemeClr val="tx1">
                  <a:lumMod val="65000"/>
                  <a:lumOff val="35000"/>
                </a:schemeClr>
              </a:solidFill>
              <a:latin typeface="+mj-lt"/>
              <a:ea typeface="+mj-ea"/>
              <a:cs typeface="+mj-cs"/>
            </a:defRPr>
          </a:pPr>
          <a:endParaRPr lang="pt-PT"/>
        </a:p>
      </c:txPr>
    </c:title>
    <c:autoTitleDeleted val="0"/>
    <c:plotArea>
      <c:layout/>
      <c:lineChart>
        <c:grouping val="standard"/>
        <c:varyColors val="0"/>
        <c:ser>
          <c:idx val="3"/>
          <c:order val="3"/>
          <c:tx>
            <c:strRef>
              <c:f>Serviço!$B$119</c:f>
              <c:strCache>
                <c:ptCount val="1"/>
                <c:pt idx="0">
                  <c:v>TOTAIS vs 2024</c:v>
                </c:pt>
              </c:strCache>
              <c:extLst xmlns:c15="http://schemas.microsoft.com/office/drawing/2012/chart"/>
            </c:strRef>
          </c:tx>
          <c:spPr>
            <a:ln w="38100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Serviço!$C$114:$P$114</c:f>
              <c:numCache>
                <c:formatCode>General</c:formatCode>
                <c:ptCount val="14"/>
              </c:numCache>
              <c:extLst xmlns:c15="http://schemas.microsoft.com/office/drawing/2012/chart"/>
            </c:numRef>
          </c:cat>
          <c:val>
            <c:numRef>
              <c:f>Serviço!$C$118:$P$118</c:f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0179-4632-8C57-4460E9266685}"/>
            </c:ext>
          </c:extLst>
        </c:ser>
        <c:ser>
          <c:idx val="5"/>
          <c:order val="5"/>
          <c:tx>
            <c:strRef>
              <c:f>Serviço!$B$121</c:f>
              <c:strCache>
                <c:ptCount val="1"/>
                <c:pt idx="0">
                  <c:v>32 vs 2019</c:v>
                </c:pt>
              </c:strCache>
            </c:strRef>
          </c:tx>
          <c:spPr>
            <a:ln w="38100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Serviço!$C$114:$P$114</c:f>
              <c:numCache>
                <c:formatCode>General</c:formatCode>
                <c:ptCount val="14"/>
              </c:numCache>
            </c:numRef>
          </c:cat>
          <c:val>
            <c:numRef>
              <c:f>Serviço!$C$120:$P$120</c:f>
              <c:numCache>
                <c:formatCode>0.00%</c:formatCode>
                <c:ptCount val="14"/>
                <c:pt idx="0">
                  <c:v>0.11269999999999999</c:v>
                </c:pt>
                <c:pt idx="1">
                  <c:v>0.17749999999999999</c:v>
                </c:pt>
                <c:pt idx="2">
                  <c:v>-1.72E-2</c:v>
                </c:pt>
                <c:pt idx="3">
                  <c:v>5.6</c:v>
                </c:pt>
                <c:pt idx="4">
                  <c:v>6.2399999999999997E-2</c:v>
                </c:pt>
                <c:pt idx="5">
                  <c:v>6.0900000000000003E-2</c:v>
                </c:pt>
                <c:pt idx="6">
                  <c:v>4.5699999999999998E-2</c:v>
                </c:pt>
                <c:pt idx="7">
                  <c:v>8.1799999999999998E-2</c:v>
                </c:pt>
                <c:pt idx="8">
                  <c:v>0.16259999999999999</c:v>
                </c:pt>
                <c:pt idx="9">
                  <c:v>-2.7000000000000001E-3</c:v>
                </c:pt>
                <c:pt idx="10">
                  <c:v>-9.06E-2</c:v>
                </c:pt>
                <c:pt idx="11">
                  <c:v>-3.6600000000000001E-2</c:v>
                </c:pt>
                <c:pt idx="12">
                  <c:v>0.13070000000000001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79-4632-8C57-4460E9266685}"/>
            </c:ext>
          </c:extLst>
        </c:ser>
        <c:ser>
          <c:idx val="6"/>
          <c:order val="6"/>
          <c:tx>
            <c:strRef>
              <c:f>Serviço!$B$122</c:f>
              <c:strCache>
                <c:ptCount val="1"/>
                <c:pt idx="0">
                  <c:v>Nacional vs 2019</c:v>
                </c:pt>
              </c:strCache>
            </c:strRef>
          </c:tx>
          <c:spPr>
            <a:ln w="38100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Serviço!$C$114:$P$114</c:f>
              <c:numCache>
                <c:formatCode>General</c:formatCode>
                <c:ptCount val="14"/>
              </c:numCache>
            </c:numRef>
          </c:cat>
          <c:val>
            <c:numRef>
              <c:f>Serviço!$C$121:$P$121</c:f>
            </c:numRef>
          </c:val>
          <c:smooth val="0"/>
          <c:extLst>
            <c:ext xmlns:c16="http://schemas.microsoft.com/office/drawing/2014/chart" uri="{C3380CC4-5D6E-409C-BE32-E72D297353CC}">
              <c16:uniqueId val="{00000001-0179-4632-8C57-4460E926668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85366879"/>
        <c:axId val="118532985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Serviço!$B$116</c15:sqref>
                        </c15:formulaRef>
                      </c:ext>
                    </c:extLst>
                    <c:strCache>
                      <c:ptCount val="1"/>
                      <c:pt idx="0">
                        <c:v>TOTAIS vs 2024</c:v>
                      </c:pt>
                    </c:strCache>
                  </c:strRef>
                </c:tx>
                <c:spPr>
                  <a:ln w="38100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Serviço!$C$114:$P$114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Serviço!$C$115:$P$115</c15:sqref>
                        </c15:formulaRef>
                      </c:ext>
                    </c:extLst>
                    <c:numCache>
                      <c:formatCode>General</c:formatCode>
                      <c:ptCount val="14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0179-4632-8C57-4460E9266685}"/>
                  </c:ext>
                </c:extLst>
              </c15:ser>
            </c15:filteredLineSeries>
            <c15:filteredLine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Serviço!$B$117</c15:sqref>
                        </c15:formulaRef>
                      </c:ext>
                    </c:extLst>
                    <c:strCache>
                      <c:ptCount val="1"/>
                      <c:pt idx="0">
                        <c:v>DELIVERY</c:v>
                      </c:pt>
                    </c:strCache>
                  </c:strRef>
                </c:tx>
                <c:spPr>
                  <a:ln w="38100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Serviço!$C$114:$P$114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Serviço!$C$116:$P$116</c15:sqref>
                        </c15:formulaRef>
                      </c:ext>
                    </c:extLst>
                    <c:numCache>
                      <c:formatCode>0.00%</c:formatCode>
                      <c:ptCount val="14"/>
                      <c:pt idx="0">
                        <c:v>0.12709999999999999</c:v>
                      </c:pt>
                      <c:pt idx="1">
                        <c:v>0.12659999999999999</c:v>
                      </c:pt>
                      <c:pt idx="2">
                        <c:v>6.5699999999999995E-2</c:v>
                      </c:pt>
                      <c:pt idx="3">
                        <c:v>-0.1341</c:v>
                      </c:pt>
                      <c:pt idx="4">
                        <c:v>-0.12989999999999999</c:v>
                      </c:pt>
                      <c:pt idx="5">
                        <c:v>9.3200000000000005E-2</c:v>
                      </c:pt>
                      <c:pt idx="6">
                        <c:v>-0.11990000000000001</c:v>
                      </c:pt>
                      <c:pt idx="7">
                        <c:v>-9.8199999999999996E-2</c:v>
                      </c:pt>
                      <c:pt idx="8">
                        <c:v>-0.11509999999999999</c:v>
                      </c:pt>
                      <c:pt idx="9">
                        <c:v>-0.1484</c:v>
                      </c:pt>
                      <c:pt idx="10">
                        <c:v>-0.2089</c:v>
                      </c:pt>
                      <c:pt idx="11">
                        <c:v>-0.2031</c:v>
                      </c:pt>
                      <c:pt idx="12">
                        <c:v>0.13789999999999999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179-4632-8C57-4460E9266685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Serviço!$B$118</c15:sqref>
                        </c15:formulaRef>
                      </c:ext>
                    </c:extLst>
                    <c:strCache>
                      <c:ptCount val="1"/>
                      <c:pt idx="0">
                        <c:v>20 vs 2019</c:v>
                      </c:pt>
                    </c:strCache>
                  </c:strRef>
                </c:tx>
                <c:spPr>
                  <a:ln w="38100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Serviço!$C$114:$P$114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Serviço!$C$117:$P$117</c15:sqref>
                        </c15:formulaRef>
                      </c:ext>
                    </c:extLst>
                    <c:numCache>
                      <c:formatCode>0.00%</c:formatCode>
                      <c:ptCount val="14"/>
                      <c:pt idx="0">
                        <c:v>0.28410000000000002</c:v>
                      </c:pt>
                      <c:pt idx="1">
                        <c:v>0.31709999999999999</c:v>
                      </c:pt>
                      <c:pt idx="2">
                        <c:v>0.14180000000000001</c:v>
                      </c:pt>
                      <c:pt idx="3">
                        <c:v>-0.1762</c:v>
                      </c:pt>
                      <c:pt idx="4">
                        <c:v>-0.22439999999999999</c:v>
                      </c:pt>
                      <c:pt idx="5">
                        <c:v>-0.19600000000000001</c:v>
                      </c:pt>
                      <c:pt idx="6">
                        <c:v>-0.23499999999999999</c:v>
                      </c:pt>
                      <c:pt idx="7">
                        <c:v>-0.24030000000000001</c:v>
                      </c:pt>
                      <c:pt idx="8">
                        <c:v>-0.18090000000000001</c:v>
                      </c:pt>
                      <c:pt idx="9">
                        <c:v>0.2477</c:v>
                      </c:pt>
                      <c:pt idx="10">
                        <c:v>-0.26650000000000001</c:v>
                      </c:pt>
                      <c:pt idx="11">
                        <c:v>-0.2505</c:v>
                      </c:pt>
                      <c:pt idx="12">
                        <c:v>0.2984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0179-4632-8C57-4460E9266685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Serviço!$B$120</c15:sqref>
                        </c15:formulaRef>
                      </c:ext>
                    </c:extLst>
                    <c:strCache>
                      <c:ptCount val="1"/>
                      <c:pt idx="0">
                        <c:v>DELIVERY</c:v>
                      </c:pt>
                    </c:strCache>
                  </c:strRef>
                </c:tx>
                <c:spPr>
                  <a:ln w="38100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Serviço!$C$114:$P$114</c15:sqref>
                        </c15:formulaRef>
                      </c:ext>
                    </c:extLst>
                    <c:numCache>
                      <c:formatCode>General</c:formatCode>
                      <c:ptCount val="14"/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Serviço!$C$119:$P$119</c15:sqref>
                        </c15:formulaRef>
                      </c:ext>
                    </c:extLst>
                    <c:numCache>
                      <c:formatCode>0.00%</c:formatCode>
                      <c:ptCount val="14"/>
                      <c:pt idx="0">
                        <c:v>1.11E-2</c:v>
                      </c:pt>
                      <c:pt idx="1">
                        <c:v>5.8700000000000002E-2</c:v>
                      </c:pt>
                      <c:pt idx="2">
                        <c:v>-5.0000000000000001E-4</c:v>
                      </c:pt>
                      <c:pt idx="3">
                        <c:v>-1.3599999999999999E-2</c:v>
                      </c:pt>
                      <c:pt idx="4">
                        <c:v>-7.6E-3</c:v>
                      </c:pt>
                      <c:pt idx="5">
                        <c:v>4.0099999999999997E-2</c:v>
                      </c:pt>
                      <c:pt idx="6">
                        <c:v>-4.8899999999999999E-2</c:v>
                      </c:pt>
                      <c:pt idx="7">
                        <c:v>-1.04E-2</c:v>
                      </c:pt>
                      <c:pt idx="8">
                        <c:v>2.3E-3</c:v>
                      </c:pt>
                      <c:pt idx="9">
                        <c:v>-3.49E-2</c:v>
                      </c:pt>
                      <c:pt idx="10">
                        <c:v>-0.13239999999999999</c:v>
                      </c:pt>
                      <c:pt idx="11">
                        <c:v>-0.12740000000000001</c:v>
                      </c:pt>
                      <c:pt idx="12">
                        <c:v>4.3299999999999998E-2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179-4632-8C57-4460E9266685}"/>
                  </c:ext>
                </c:extLst>
              </c15:ser>
            </c15:filteredLineSeries>
          </c:ext>
        </c:extLst>
      </c:lineChart>
      <c:catAx>
        <c:axId val="1185366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none" spc="0" normalizeH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5329855"/>
        <c:crosses val="autoZero"/>
        <c:auto val="1"/>
        <c:lblAlgn val="ctr"/>
        <c:lblOffset val="100"/>
        <c:noMultiLvlLbl val="0"/>
      </c:catAx>
      <c:valAx>
        <c:axId val="118532985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min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in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185366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COMPARAÇÃO MO MENSAL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7.6025378890013054E-2"/>
          <c:y val="9.3676256569168739E-2"/>
          <c:w val="0.92397462110998696"/>
          <c:h val="0.65588951108639826"/>
        </c:manualLayout>
      </c:layout>
      <c:barChart>
        <c:barDir val="col"/>
        <c:grouping val="clustered"/>
        <c:varyColors val="0"/>
        <c:ser>
          <c:idx val="4"/>
          <c:order val="4"/>
          <c:tx>
            <c:strRef>
              <c:f>Pessoas!$D$9</c:f>
              <c:strCache>
                <c:ptCount val="1"/>
                <c:pt idx="0">
                  <c:v>20- PRODUTIVIDADE</c:v>
                </c:pt>
              </c:strCache>
              <c:extLst xmlns:c15="http://schemas.microsoft.com/office/drawing/2012/chart"/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Pessoas!$E$4:$Q$4</c15:sqref>
                  </c15:fullRef>
                </c:ext>
              </c:extLst>
              <c:f>(Pessoas!$E$4:$N$4,Pessoas!$P$4:$Q$4)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DEZEMBRO</c:v>
                </c:pt>
                <c:pt idx="11">
                  <c:v>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Pessoas!$E$9:$Q$9</c15:sqref>
                  </c15:fullRef>
                </c:ext>
              </c:extLst>
              <c:f>(Pessoas!$E$9:$N$9,Pessoas!$P$9:$Q$9)</c:f>
              <c:numCache>
                <c:formatCode>_("€"* #,##0.00_);_("€"* \(#,##0.00\);_("€"* "-"??_);_(@_)</c:formatCode>
                <c:ptCount val="12"/>
                <c:pt idx="0">
                  <c:v>75.089656964656967</c:v>
                </c:pt>
                <c:pt idx="1">
                  <c:v>73.970605355064023</c:v>
                </c:pt>
                <c:pt idx="2">
                  <c:v>72.470162748643759</c:v>
                </c:pt>
                <c:pt idx="3">
                  <c:v>66.431488447071473</c:v>
                </c:pt>
                <c:pt idx="4">
                  <c:v>74.835514574657935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160.77619387027798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8256-4E9C-A294-DE1E54E6948B}"/>
            </c:ext>
          </c:extLst>
        </c:ser>
        <c:ser>
          <c:idx val="5"/>
          <c:order val="5"/>
          <c:tx>
            <c:strRef>
              <c:f>Pessoas!$D$10</c:f>
              <c:strCache>
                <c:ptCount val="1"/>
                <c:pt idx="0">
                  <c:v>32-PRODUTIVIDADE</c:v>
                </c:pt>
              </c:strCache>
              <c:extLst xmlns:c15="http://schemas.microsoft.com/office/drawing/2012/chart"/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Pessoas!$E$4:$Q$4</c15:sqref>
                  </c15:fullRef>
                </c:ext>
              </c:extLst>
              <c:f>(Pessoas!$E$4:$N$4,Pessoas!$P$4:$Q$4)</c:f>
              <c:strCache>
                <c:ptCount val="12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DEZEMBRO</c:v>
                </c:pt>
                <c:pt idx="11">
                  <c:v>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Pessoas!$E$10:$Q$10</c15:sqref>
                  </c15:fullRef>
                </c:ext>
              </c:extLst>
              <c:f>(Pessoas!$E$10:$N$10,Pessoas!$P$10:$Q$10)</c:f>
              <c:numCache>
                <c:formatCode>0.00</c:formatCode>
                <c:ptCount val="12"/>
                <c:pt idx="0">
                  <c:v>62.958399999999997</c:v>
                </c:pt>
                <c:pt idx="1">
                  <c:v>61.442060085836907</c:v>
                </c:pt>
                <c:pt idx="2">
                  <c:v>62.671031096563013</c:v>
                </c:pt>
                <c:pt idx="3">
                  <c:v>56.362524654832349</c:v>
                </c:pt>
                <c:pt idx="4">
                  <c:v>65.07794294897549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145.45332574402343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8256-4E9C-A294-DE1E54E694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97842832"/>
        <c:axId val="497844752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Pessoas!$D$5</c15:sqref>
                        </c15:formulaRef>
                      </c:ext>
                    </c:extLst>
                    <c:strCache>
                      <c:ptCount val="1"/>
                      <c:pt idx="0">
                        <c:v>20- VENDAS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Pessoas!$E$4:$Q$4</c15:sqref>
                        </c15:fullRef>
                        <c15:formulaRef>
                          <c15:sqref>(Pessoas!$E$4:$N$4,Pessoas!$P$4:$Q$4)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DEZEMBRO</c:v>
                      </c:pt>
                      <c:pt idx="11">
                        <c:v>ANO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Pessoas!$E$5:$Q$5</c15:sqref>
                        </c15:fullRef>
                        <c15:formulaRef>
                          <c15:sqref>(Pessoas!$E$5:$N$5,Pessoas!$P$5:$Q$5)</c15:sqref>
                        </c15:formulaRef>
                      </c:ext>
                    </c:extLst>
                    <c:numCache>
                      <c:formatCode>#\ ##0.00\ "€"</c:formatCode>
                      <c:ptCount val="12"/>
                      <c:pt idx="0">
                        <c:v>288945</c:v>
                      </c:pt>
                      <c:pt idx="1">
                        <c:v>254163</c:v>
                      </c:pt>
                      <c:pt idx="2">
                        <c:v>280532</c:v>
                      </c:pt>
                      <c:pt idx="3">
                        <c:v>247258</c:v>
                      </c:pt>
                      <c:pt idx="4">
                        <c:v>251597</c:v>
                      </c:pt>
                      <c:pt idx="5">
                        <c:v>252397</c:v>
                      </c:pt>
                      <c:pt idx="6">
                        <c:v>268928</c:v>
                      </c:pt>
                      <c:pt idx="7">
                        <c:v>286413</c:v>
                      </c:pt>
                      <c:pt idx="8">
                        <c:v>246748</c:v>
                      </c:pt>
                      <c:pt idx="9">
                        <c:v>236241</c:v>
                      </c:pt>
                      <c:pt idx="10">
                        <c:v>82979</c:v>
                      </c:pt>
                      <c:pt idx="11">
                        <c:v>2932397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256-4E9C-A294-DE1E54E6948B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Pessoas!$D$6</c15:sqref>
                        </c15:formulaRef>
                      </c:ext>
                    </c:extLst>
                    <c:strCache>
                      <c:ptCount val="1"/>
                      <c:pt idx="0">
                        <c:v>32- VENDAS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Pessoas!$E$4:$Q$4</c15:sqref>
                        </c15:fullRef>
                        <c15:formulaRef>
                          <c15:sqref>(Pessoas!$E$4:$N$4,Pessoas!$P$4:$Q$4)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DEZEMBRO</c:v>
                      </c:pt>
                      <c:pt idx="11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Pessoas!$E$6:$Q$6</c15:sqref>
                        </c15:fullRef>
                        <c15:formulaRef>
                          <c15:sqref>(Pessoas!$E$6:$N$6,Pessoas!$P$6:$Q$6)</c15:sqref>
                        </c15:formulaRef>
                      </c:ext>
                    </c:extLst>
                    <c:numCache>
                      <c:formatCode>#\ ##0.00\ "€"</c:formatCode>
                      <c:ptCount val="12"/>
                      <c:pt idx="0">
                        <c:v>157396</c:v>
                      </c:pt>
                      <c:pt idx="1">
                        <c:v>143160</c:v>
                      </c:pt>
                      <c:pt idx="2">
                        <c:v>153168</c:v>
                      </c:pt>
                      <c:pt idx="3">
                        <c:v>142879</c:v>
                      </c:pt>
                      <c:pt idx="4">
                        <c:v>161979</c:v>
                      </c:pt>
                      <c:pt idx="5">
                        <c:v>159094</c:v>
                      </c:pt>
                      <c:pt idx="6">
                        <c:v>165280</c:v>
                      </c:pt>
                      <c:pt idx="7">
                        <c:v>168534</c:v>
                      </c:pt>
                      <c:pt idx="8">
                        <c:v>155517</c:v>
                      </c:pt>
                      <c:pt idx="9">
                        <c:v>161680</c:v>
                      </c:pt>
                      <c:pt idx="10">
                        <c:v>57366</c:v>
                      </c:pt>
                      <c:pt idx="11">
                        <c:v>1788785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256-4E9C-A294-DE1E54E6948B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Pessoas!$D$7</c15:sqref>
                        </c15:formulaRef>
                      </c:ext>
                    </c:extLst>
                    <c:strCache>
                      <c:ptCount val="1"/>
                      <c:pt idx="0">
                        <c:v>20- HORAS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Pessoas!$E$4:$Q$4</c15:sqref>
                        </c15:fullRef>
                        <c15:formulaRef>
                          <c15:sqref>(Pessoas!$E$4:$N$4,Pessoas!$P$4:$Q$4)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DEZEMBRO</c:v>
                      </c:pt>
                      <c:pt idx="11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Pessoas!$E$7:$Q$7</c15:sqref>
                        </c15:fullRef>
                        <c15:formulaRef>
                          <c15:sqref>(Pessoas!$E$7:$N$7,Pessoas!$P$7:$Q$7)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3848</c:v>
                      </c:pt>
                      <c:pt idx="1">
                        <c:v>3436</c:v>
                      </c:pt>
                      <c:pt idx="2">
                        <c:v>3871</c:v>
                      </c:pt>
                      <c:pt idx="3">
                        <c:v>3722</c:v>
                      </c:pt>
                      <c:pt idx="4">
                        <c:v>3362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18239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256-4E9C-A294-DE1E54E6948B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Pessoas!$D$8</c15:sqref>
                        </c15:formulaRef>
                      </c:ext>
                    </c:extLst>
                    <c:strCache>
                      <c:ptCount val="1"/>
                      <c:pt idx="0">
                        <c:v>32- HORAS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Pessoas!$E$4:$Q$4</c15:sqref>
                        </c15:fullRef>
                        <c15:formulaRef>
                          <c15:sqref>(Pessoas!$E$4:$N$4,Pessoas!$P$4:$Q$4)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DEZEMBRO</c:v>
                      </c:pt>
                      <c:pt idx="11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Pessoas!$E$8:$Q$8</c15:sqref>
                        </c15:fullRef>
                        <c15:formulaRef>
                          <c15:sqref>(Pessoas!$E$8:$N$8,Pessoas!$P$8:$Q$8)</c15:sqref>
                        </c15:formulaRef>
                      </c:ext>
                    </c:extLst>
                    <c:numCache>
                      <c:formatCode>General</c:formatCode>
                      <c:ptCount val="12"/>
                      <c:pt idx="0" formatCode="0.00">
                        <c:v>2500</c:v>
                      </c:pt>
                      <c:pt idx="1">
                        <c:v>2330</c:v>
                      </c:pt>
                      <c:pt idx="2">
                        <c:v>2444</c:v>
                      </c:pt>
                      <c:pt idx="3">
                        <c:v>2535</c:v>
                      </c:pt>
                      <c:pt idx="4">
                        <c:v>2489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 formatCode="0.00">
                        <c:v>12298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256-4E9C-A294-DE1E54E6948B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Pessoas!$D$11</c15:sqref>
                        </c15:formulaRef>
                      </c:ext>
                    </c:extLst>
                    <c:strCache>
                      <c:ptCount val="1"/>
                      <c:pt idx="0">
                        <c:v>20- MO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Pessoas!$E$4:$Q$4</c15:sqref>
                        </c15:fullRef>
                        <c15:formulaRef>
                          <c15:sqref>(Pessoas!$E$4:$N$4,Pessoas!$P$4:$Q$4)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DEZEMBRO</c:v>
                      </c:pt>
                      <c:pt idx="11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Pessoas!$E$11:$Q$11</c15:sqref>
                        </c15:fullRef>
                        <c15:formulaRef>
                          <c15:sqref>(Pessoas!$E$11:$N$11,Pessoas!$P$11:$Q$11)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0.1123</c:v>
                      </c:pt>
                      <c:pt idx="1">
                        <c:v>0.11070000000000001</c:v>
                      </c:pt>
                      <c:pt idx="2">
                        <c:v>0.1142</c:v>
                      </c:pt>
                      <c:pt idx="3">
                        <c:v>0.10680000000000001</c:v>
                      </c:pt>
                      <c:pt idx="4">
                        <c:v>0.10639999999999999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8256-4E9C-A294-DE1E54E6948B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Pessoas!$D$12</c15:sqref>
                        </c15:formulaRef>
                      </c:ext>
                    </c:extLst>
                    <c:strCache>
                      <c:ptCount val="1"/>
                      <c:pt idx="0">
                        <c:v>32- MO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Pessoas!$E$4:$Q$4</c15:sqref>
                        </c15:fullRef>
                        <c15:formulaRef>
                          <c15:sqref>(Pessoas!$E$4:$N$4,Pessoas!$P$4:$Q$4)</c15:sqref>
                        </c15:formulaRef>
                      </c:ext>
                    </c:extLst>
                    <c:strCache>
                      <c:ptCount val="12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DEZEMBRO</c:v>
                      </c:pt>
                      <c:pt idx="11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Pessoas!$E$12:$Q$12</c15:sqref>
                        </c15:fullRef>
                        <c15:formulaRef>
                          <c15:sqref>(Pessoas!$E$12:$N$12,Pessoas!$P$12:$Q$12)</c15:sqref>
                        </c15:formulaRef>
                      </c:ext>
                    </c:extLst>
                    <c:numCache>
                      <c:formatCode>0.00%</c:formatCode>
                      <c:ptCount val="12"/>
                      <c:pt idx="0">
                        <c:v>0.12039999999999999</c:v>
                      </c:pt>
                      <c:pt idx="1">
                        <c:v>0.12540000000000001</c:v>
                      </c:pt>
                      <c:pt idx="2">
                        <c:v>0.11840000000000001</c:v>
                      </c:pt>
                      <c:pt idx="3">
                        <c:v>0.13020000000000001</c:v>
                      </c:pt>
                      <c:pt idx="4">
                        <c:v>0.12180000000000001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8256-4E9C-A294-DE1E54E6948B}"/>
                  </c:ext>
                </c:extLst>
              </c15:ser>
            </c15:filteredBarSeries>
          </c:ext>
        </c:extLst>
      </c:barChart>
      <c:catAx>
        <c:axId val="497842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97844752"/>
        <c:crosses val="autoZero"/>
        <c:auto val="1"/>
        <c:lblAlgn val="ctr"/>
        <c:lblOffset val="100"/>
        <c:noMultiLvlLbl val="0"/>
      </c:catAx>
      <c:valAx>
        <c:axId val="49784475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97842832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Pessoas!$C$72</c:f>
              <c:strCache>
                <c:ptCount val="1"/>
                <c:pt idx="0">
                  <c:v>AMADORA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Pessoas!$B$73:$B$85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ANO</c:v>
                </c:pt>
              </c:strCache>
            </c:strRef>
          </c:cat>
          <c:val>
            <c:numRef>
              <c:f>Pessoas!$C$73:$C$85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3.2000000000000001E-2</c:v>
                </c:pt>
                <c:pt idx="3">
                  <c:v>0</c:v>
                </c:pt>
                <c:pt idx="4">
                  <c:v>3.1E-2</c:v>
                </c:pt>
                <c:pt idx="12">
                  <c:v>6.3E-2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8FA-4ACF-A6A0-01718BDE067C}"/>
            </c:ext>
          </c:extLst>
        </c:ser>
        <c:ser>
          <c:idx val="1"/>
          <c:order val="1"/>
          <c:tx>
            <c:strRef>
              <c:f>Pessoas!$D$72</c:f>
              <c:strCache>
                <c:ptCount val="1"/>
                <c:pt idx="0">
                  <c:v>QUELUZ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Pessoas!$B$73:$B$85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ANO</c:v>
                </c:pt>
              </c:strCache>
            </c:strRef>
          </c:cat>
          <c:val>
            <c:numRef>
              <c:f>Pessoas!$D$73:$D$85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0.1</c:v>
                </c:pt>
                <c:pt idx="3">
                  <c:v>0.05</c:v>
                </c:pt>
                <c:pt idx="4">
                  <c:v>0</c:v>
                </c:pt>
                <c:pt idx="12">
                  <c:v>0.1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8FA-4ACF-A6A0-01718BDE067C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60636216"/>
        <c:axId val="560641976"/>
      </c:barChart>
      <c:catAx>
        <c:axId val="5606362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0641976"/>
        <c:crosses val="autoZero"/>
        <c:auto val="1"/>
        <c:lblAlgn val="ctr"/>
        <c:lblOffset val="100"/>
        <c:noMultiLvlLbl val="0"/>
      </c:catAx>
      <c:valAx>
        <c:axId val="5606419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6063621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STAFFING vs PLANIFICAÇÃO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6"/>
          <c:order val="6"/>
          <c:tx>
            <c:strRef>
              <c:f>Pessoas!$H$90:$H$91</c:f>
              <c:strCache>
                <c:ptCount val="2"/>
                <c:pt idx="0">
                  <c:v>STAFFING (abaixo do ideal)</c:v>
                </c:pt>
                <c:pt idx="1">
                  <c:v>32- TOTAL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Pessoas!$A$92:$A$104</c15:sqref>
                  </c15:fullRef>
                </c:ext>
              </c:extLst>
              <c:f>(Pessoas!$A$92:$A$101,Pessoas!$A$104)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Pessoas!$H$92:$H$104</c15:sqref>
                  </c15:fullRef>
                </c:ext>
              </c:extLst>
              <c:f>(Pessoas!$H$92:$H$101,Pessoas!$H$104)</c:f>
              <c:numCache>
                <c:formatCode>0%</c:formatCode>
                <c:ptCount val="11"/>
                <c:pt idx="0">
                  <c:v>0.35</c:v>
                </c:pt>
                <c:pt idx="1">
                  <c:v>0.33</c:v>
                </c:pt>
                <c:pt idx="2">
                  <c:v>0.5</c:v>
                </c:pt>
                <c:pt idx="3">
                  <c:v>0.38</c:v>
                </c:pt>
                <c:pt idx="4">
                  <c:v>0.61</c:v>
                </c:pt>
                <c:pt idx="10">
                  <c:v>0.56000000000000005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059B-43A1-B5B7-48785CAE48A6}"/>
            </c:ext>
          </c:extLst>
        </c:ser>
        <c:ser>
          <c:idx val="9"/>
          <c:order val="9"/>
          <c:tx>
            <c:strRef>
              <c:f>Pessoas!$K$90:$K$91</c:f>
              <c:strCache>
                <c:ptCount val="2"/>
                <c:pt idx="0">
                  <c:v>PLANIFICAÇÃO (ideal)</c:v>
                </c:pt>
                <c:pt idx="1">
                  <c:v>32- TOTAL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Pessoas!$A$92:$A$104</c15:sqref>
                  </c15:fullRef>
                </c:ext>
              </c:extLst>
              <c:f>(Pessoas!$A$92:$A$101,Pessoas!$A$104)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Pessoas!$K$92:$K$104</c15:sqref>
                  </c15:fullRef>
                </c:ext>
              </c:extLst>
              <c:f>(Pessoas!$K$92:$K$101,Pessoas!$K$104)</c:f>
              <c:numCache>
                <c:formatCode>0%</c:formatCode>
                <c:ptCount val="11"/>
                <c:pt idx="0">
                  <c:v>0.27</c:v>
                </c:pt>
                <c:pt idx="1">
                  <c:v>0.36</c:v>
                </c:pt>
                <c:pt idx="2">
                  <c:v>0.33</c:v>
                </c:pt>
                <c:pt idx="3">
                  <c:v>0.27</c:v>
                </c:pt>
                <c:pt idx="4">
                  <c:v>0.4</c:v>
                </c:pt>
                <c:pt idx="10">
                  <c:v>0.33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9B-43A1-B5B7-48785CAE48A6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516799800"/>
        <c:axId val="516800120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Pessoas!$B$90:$B$91</c15:sqref>
                        </c15:formulaRef>
                      </c:ext>
                    </c:extLst>
                    <c:strCache>
                      <c:ptCount val="2"/>
                      <c:pt idx="0">
                        <c:v>STAFFING (abaixo do ideal)</c:v>
                      </c:pt>
                      <c:pt idx="1">
                        <c:v>20- TOTAL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Pessoas!$A$92:$A$104</c15:sqref>
                        </c15:fullRef>
                        <c15:formulaRef>
                          <c15:sqref>(Pessoas!$A$92:$A$101,Pessoas!$A$104)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Pessoas!$B$92:$B$104</c15:sqref>
                        </c15:fullRef>
                        <c15:formulaRef>
                          <c15:sqref>(Pessoas!$B$92:$B$101,Pessoas!$B$104)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0.4</c:v>
                      </c:pt>
                      <c:pt idx="1">
                        <c:v>0.34</c:v>
                      </c:pt>
                      <c:pt idx="2">
                        <c:v>0.34</c:v>
                      </c:pt>
                      <c:pt idx="3">
                        <c:v>0.5</c:v>
                      </c:pt>
                      <c:pt idx="4">
                        <c:v>0.5</c:v>
                      </c:pt>
                      <c:pt idx="10">
                        <c:v>0.43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8924-492B-8973-A583E60987D8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Pessoas!$C$90:$C$91</c15:sqref>
                        </c15:formulaRef>
                      </c:ext>
                    </c:extLst>
                    <c:strCache>
                      <c:ptCount val="2"/>
                      <c:pt idx="0">
                        <c:v>STAFFING (abaixo do ideal)</c:v>
                      </c:pt>
                      <c:pt idx="1">
                        <c:v>20- ALMOÇO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Pessoas!$A$92:$A$104</c15:sqref>
                        </c15:fullRef>
                        <c15:formulaRef>
                          <c15:sqref>(Pessoas!$A$92:$A$101,Pessoas!$A$104)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Pessoas!$C$92:$C$104</c15:sqref>
                        </c15:fullRef>
                        <c15:formulaRef>
                          <c15:sqref>(Pessoas!$C$92:$C$101,Pessoas!$C$104)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0.23</c:v>
                      </c:pt>
                      <c:pt idx="1">
                        <c:v>0.31</c:v>
                      </c:pt>
                      <c:pt idx="2">
                        <c:v>0.23</c:v>
                      </c:pt>
                      <c:pt idx="3">
                        <c:v>0.33</c:v>
                      </c:pt>
                      <c:pt idx="4">
                        <c:v>0.35</c:v>
                      </c:pt>
                      <c:pt idx="10">
                        <c:v>0.28999999999999998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8924-492B-8973-A583E60987D8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Pessoas!$D$90:$D$91</c15:sqref>
                        </c15:formulaRef>
                      </c:ext>
                    </c:extLst>
                    <c:strCache>
                      <c:ptCount val="2"/>
                      <c:pt idx="0">
                        <c:v>STAFFING (abaixo do ideal)</c:v>
                      </c:pt>
                      <c:pt idx="1">
                        <c:v>20- JANTAR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Pessoas!$A$92:$A$104</c15:sqref>
                        </c15:fullRef>
                        <c15:formulaRef>
                          <c15:sqref>(Pessoas!$A$92:$A$101,Pessoas!$A$104)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Pessoas!$D$92:$D$104</c15:sqref>
                        </c15:fullRef>
                        <c15:formulaRef>
                          <c15:sqref>(Pessoas!$D$92:$D$101,Pessoas!$D$104)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0.57999999999999996</c:v>
                      </c:pt>
                      <c:pt idx="1">
                        <c:v>0.38</c:v>
                      </c:pt>
                      <c:pt idx="2">
                        <c:v>0.45</c:v>
                      </c:pt>
                      <c:pt idx="3">
                        <c:v>0.67</c:v>
                      </c:pt>
                      <c:pt idx="4">
                        <c:v>0.65</c:v>
                      </c:pt>
                      <c:pt idx="10">
                        <c:v>0.56999999999999995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8924-492B-8973-A583E60987D8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Pessoas!$E$90:$E$91</c15:sqref>
                        </c15:formulaRef>
                      </c:ext>
                    </c:extLst>
                    <c:strCache>
                      <c:ptCount val="2"/>
                      <c:pt idx="0">
                        <c:v>PLANIFICAÇÃO (ideal)</c:v>
                      </c:pt>
                      <c:pt idx="1">
                        <c:v>20- TOTAL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Pessoas!$A$92:$A$104</c15:sqref>
                        </c15:fullRef>
                        <c15:formulaRef>
                          <c15:sqref>(Pessoas!$A$92:$A$101,Pessoas!$A$104)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Pessoas!$E$92:$E$104</c15:sqref>
                        </c15:fullRef>
                        <c15:formulaRef>
                          <c15:sqref>(Pessoas!$E$92:$E$101,Pessoas!$E$104)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0.45</c:v>
                      </c:pt>
                      <c:pt idx="1">
                        <c:v>0.45</c:v>
                      </c:pt>
                      <c:pt idx="2">
                        <c:v>0.4</c:v>
                      </c:pt>
                      <c:pt idx="3">
                        <c:v>0.48</c:v>
                      </c:pt>
                      <c:pt idx="4">
                        <c:v>0.45</c:v>
                      </c:pt>
                      <c:pt idx="10">
                        <c:v>0.39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8924-492B-8973-A583E60987D8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Pessoas!$F$90:$F$91</c15:sqref>
                        </c15:formulaRef>
                      </c:ext>
                    </c:extLst>
                    <c:strCache>
                      <c:ptCount val="2"/>
                      <c:pt idx="0">
                        <c:v>PLANIFICAÇÃO (ideal)</c:v>
                      </c:pt>
                      <c:pt idx="1">
                        <c:v>20- ALMOÇO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Pessoas!$A$92:$A$104</c15:sqref>
                        </c15:fullRef>
                        <c15:formulaRef>
                          <c15:sqref>(Pessoas!$A$92:$A$101,Pessoas!$A$104)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Pessoas!$F$92:$F$104</c15:sqref>
                        </c15:fullRef>
                        <c15:formulaRef>
                          <c15:sqref>(Pessoas!$F$92:$F$101,Pessoas!$F$104)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0.45</c:v>
                      </c:pt>
                      <c:pt idx="1">
                        <c:v>0.34</c:v>
                      </c:pt>
                      <c:pt idx="2">
                        <c:v>0.35</c:v>
                      </c:pt>
                      <c:pt idx="3">
                        <c:v>0.56999999999999995</c:v>
                      </c:pt>
                      <c:pt idx="4">
                        <c:v>0.45</c:v>
                      </c:pt>
                      <c:pt idx="10">
                        <c:v>0.36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8924-492B-8973-A583E60987D8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Pessoas!$G$90:$G$91</c15:sqref>
                        </c15:formulaRef>
                      </c:ext>
                    </c:extLst>
                    <c:strCache>
                      <c:ptCount val="2"/>
                      <c:pt idx="0">
                        <c:v>PLANIFICAÇÃO (ideal)</c:v>
                      </c:pt>
                      <c:pt idx="1">
                        <c:v>20- JANTAR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Pessoas!$A$92:$A$104</c15:sqref>
                        </c15:fullRef>
                        <c15:formulaRef>
                          <c15:sqref>(Pessoas!$A$92:$A$101,Pessoas!$A$104)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Pessoas!$G$92:$G$104</c15:sqref>
                        </c15:fullRef>
                        <c15:formulaRef>
                          <c15:sqref>(Pessoas!$G$92:$G$101,Pessoas!$G$104)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0.45</c:v>
                      </c:pt>
                      <c:pt idx="1">
                        <c:v>0.55000000000000004</c:v>
                      </c:pt>
                      <c:pt idx="2">
                        <c:v>0.45</c:v>
                      </c:pt>
                      <c:pt idx="3">
                        <c:v>0.4</c:v>
                      </c:pt>
                      <c:pt idx="4">
                        <c:v>0.45</c:v>
                      </c:pt>
                      <c:pt idx="10">
                        <c:v>0.41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8924-492B-8973-A583E60987D8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Pessoas!$I$90:$I$91</c15:sqref>
                        </c15:formulaRef>
                      </c:ext>
                    </c:extLst>
                    <c:strCache>
                      <c:ptCount val="2"/>
                      <c:pt idx="0">
                        <c:v>STAFFING (abaixo do ideal)</c:v>
                      </c:pt>
                      <c:pt idx="1">
                        <c:v>32- ALMOÇO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Pessoas!$A$92:$A$104</c15:sqref>
                        </c15:fullRef>
                        <c15:formulaRef>
                          <c15:sqref>(Pessoas!$A$92:$A$101,Pessoas!$A$104)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Pessoas!$I$92:$I$104</c15:sqref>
                        </c15:fullRef>
                        <c15:formulaRef>
                          <c15:sqref>(Pessoas!$I$92:$I$101,Pessoas!$I$104)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0.32</c:v>
                      </c:pt>
                      <c:pt idx="1">
                        <c:v>0.24</c:v>
                      </c:pt>
                      <c:pt idx="2">
                        <c:v>0.37</c:v>
                      </c:pt>
                      <c:pt idx="3">
                        <c:v>0.2</c:v>
                      </c:pt>
                      <c:pt idx="4">
                        <c:v>0.65</c:v>
                      </c:pt>
                      <c:pt idx="10">
                        <c:v>0.52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059B-43A1-B5B7-48785CAE48A6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Pessoas!$J$90:$J$91</c15:sqref>
                        </c15:formulaRef>
                      </c:ext>
                    </c:extLst>
                    <c:strCache>
                      <c:ptCount val="2"/>
                      <c:pt idx="0">
                        <c:v>STAFFING (abaixo do ideal)</c:v>
                      </c:pt>
                      <c:pt idx="1">
                        <c:v>32- JANTAR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Pessoas!$A$92:$A$104</c15:sqref>
                        </c15:fullRef>
                        <c15:formulaRef>
                          <c15:sqref>(Pessoas!$A$92:$A$101,Pessoas!$A$104)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Pessoas!$J$92:$J$104</c15:sqref>
                        </c15:fullRef>
                        <c15:formulaRef>
                          <c15:sqref>(Pessoas!$J$92:$J$101,Pessoas!$J$104)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0.39</c:v>
                      </c:pt>
                      <c:pt idx="1">
                        <c:v>0.41</c:v>
                      </c:pt>
                      <c:pt idx="2">
                        <c:v>0.63</c:v>
                      </c:pt>
                      <c:pt idx="3">
                        <c:v>0.56999999999999995</c:v>
                      </c:pt>
                      <c:pt idx="4">
                        <c:v>0.57999999999999996</c:v>
                      </c:pt>
                      <c:pt idx="10">
                        <c:v>0.61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059B-43A1-B5B7-48785CAE48A6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Pessoas!$L$90:$L$91</c15:sqref>
                        </c15:formulaRef>
                      </c:ext>
                    </c:extLst>
                    <c:strCache>
                      <c:ptCount val="2"/>
                      <c:pt idx="0">
                        <c:v>PLANIFICAÇÃO (ideal)</c:v>
                      </c:pt>
                      <c:pt idx="1">
                        <c:v>32- ALMOÇO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Pessoas!$A$92:$A$104</c15:sqref>
                        </c15:fullRef>
                        <c15:formulaRef>
                          <c15:sqref>(Pessoas!$A$92:$A$101,Pessoas!$A$104)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Pessoas!$L$92:$L$104</c15:sqref>
                        </c15:fullRef>
                        <c15:formulaRef>
                          <c15:sqref>(Pessoas!$L$92:$L$101,Pessoas!$L$104)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0.28999999999999998</c:v>
                      </c:pt>
                      <c:pt idx="1">
                        <c:v>0.55000000000000004</c:v>
                      </c:pt>
                      <c:pt idx="2">
                        <c:v>0.3</c:v>
                      </c:pt>
                      <c:pt idx="3">
                        <c:v>0.23</c:v>
                      </c:pt>
                      <c:pt idx="4">
                        <c:v>0.48</c:v>
                      </c:pt>
                      <c:pt idx="10">
                        <c:v>0.38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059B-43A1-B5B7-48785CAE48A6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Pessoas!$M$90:$M$91</c15:sqref>
                        </c15:formulaRef>
                      </c:ext>
                    </c:extLst>
                    <c:strCache>
                      <c:ptCount val="2"/>
                      <c:pt idx="0">
                        <c:v>PLANIFICAÇÃO (ideal)</c:v>
                      </c:pt>
                      <c:pt idx="1">
                        <c:v>32- JANTAR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Pessoas!$A$92:$A$104</c15:sqref>
                        </c15:fullRef>
                        <c15:formulaRef>
                          <c15:sqref>(Pessoas!$A$92:$A$101,Pessoas!$A$104)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Pessoas!$M$92:$M$104</c15:sqref>
                        </c15:fullRef>
                        <c15:formulaRef>
                          <c15:sqref>(Pessoas!$M$92:$M$101,Pessoas!$M$104)</c15:sqref>
                        </c15:formulaRef>
                      </c:ext>
                    </c:extLst>
                    <c:numCache>
                      <c:formatCode>0%</c:formatCode>
                      <c:ptCount val="11"/>
                      <c:pt idx="0">
                        <c:v>0.26</c:v>
                      </c:pt>
                      <c:pt idx="1">
                        <c:v>0.17</c:v>
                      </c:pt>
                      <c:pt idx="2">
                        <c:v>0.37</c:v>
                      </c:pt>
                      <c:pt idx="3">
                        <c:v>0.3</c:v>
                      </c:pt>
                      <c:pt idx="4">
                        <c:v>0.32</c:v>
                      </c:pt>
                      <c:pt idx="10">
                        <c:v>0.28000000000000003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059B-43A1-B5B7-48785CAE48A6}"/>
                  </c:ext>
                </c:extLst>
              </c15:ser>
            </c15:filteredBarSeries>
          </c:ext>
        </c:extLst>
      </c:barChart>
      <c:catAx>
        <c:axId val="5167998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6800120"/>
        <c:crosses val="autoZero"/>
        <c:auto val="1"/>
        <c:lblAlgn val="ctr"/>
        <c:lblOffset val="100"/>
        <c:noMultiLvlLbl val="0"/>
      </c:catAx>
      <c:valAx>
        <c:axId val="516800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67998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Amadora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Pessoas!$C$33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Pessoas!$B$34:$B$68</c15:sqref>
                  </c15:fullRef>
                </c:ext>
              </c:extLst>
              <c:f>(Pessoas!$B$34:$B$35,Pessoas!$B$38,Pessoas!$B$41,Pessoas!$B$44,Pessoas!$B$47,Pessoas!$B$50,Pessoas!$B$53,Pessoas!$B$56,Pessoas!$B$59,Pessoas!$B$62)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Pessoas!$C$34:$C$68</c15:sqref>
                  </c15:fullRef>
                </c:ext>
              </c:extLst>
              <c:f>(Pessoas!$C$34:$C$35,Pessoas!$C$38,Pessoas!$C$41,Pessoas!$C$44,Pessoas!$C$47,Pessoas!$C$50,Pessoas!$C$53,Pessoas!$C$56,Pessoas!$C$59,Pessoas!$C$62)</c:f>
              <c:numCache>
                <c:formatCode>#\ ##0.00\ "€"</c:formatCode>
                <c:ptCount val="11"/>
                <c:pt idx="0">
                  <c:v>288945</c:v>
                </c:pt>
                <c:pt idx="1">
                  <c:v>254163</c:v>
                </c:pt>
                <c:pt idx="2">
                  <c:v>280532</c:v>
                </c:pt>
                <c:pt idx="3">
                  <c:v>247258</c:v>
                </c:pt>
                <c:pt idx="4">
                  <c:v>251597</c:v>
                </c:pt>
                <c:pt idx="5">
                  <c:v>252397</c:v>
                </c:pt>
                <c:pt idx="6">
                  <c:v>268928</c:v>
                </c:pt>
                <c:pt idx="7">
                  <c:v>286413</c:v>
                </c:pt>
                <c:pt idx="8">
                  <c:v>246748</c:v>
                </c:pt>
                <c:pt idx="9">
                  <c:v>236241</c:v>
                </c:pt>
                <c:pt idx="10">
                  <c:v>236196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0FD-4D7A-9B47-974656177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3599663"/>
        <c:axId val="553605071"/>
      </c:barChart>
      <c:lineChart>
        <c:grouping val="standard"/>
        <c:varyColors val="0"/>
        <c:ser>
          <c:idx val="1"/>
          <c:order val="1"/>
          <c:tx>
            <c:strRef>
              <c:f>Pessoas!$D$33</c:f>
              <c:strCache>
                <c:ptCount val="1"/>
                <c:pt idx="0">
                  <c:v>HORAS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Pessoas!$B$34:$B$68</c15:sqref>
                  </c15:fullRef>
                </c:ext>
              </c:extLst>
              <c:f>(Pessoas!$B$34:$B$35,Pessoas!$B$38,Pessoas!$B$41,Pessoas!$B$44,Pessoas!$B$47,Pessoas!$B$50,Pessoas!$B$53,Pessoas!$B$56,Pessoas!$B$59,Pessoas!$B$62)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Pessoas!$D$34:$D$68</c15:sqref>
                  </c15:fullRef>
                </c:ext>
              </c:extLst>
              <c:f>(Pessoas!$D$34:$D$35,Pessoas!$D$38,Pessoas!$D$41,Pessoas!$D$44,Pessoas!$D$47,Pessoas!$D$50,Pessoas!$D$53,Pessoas!$D$56,Pessoas!$D$59,Pessoas!$D$62)</c:f>
              <c:numCache>
                <c:formatCode>General</c:formatCode>
                <c:ptCount val="11"/>
                <c:pt idx="0">
                  <c:v>3848</c:v>
                </c:pt>
                <c:pt idx="1">
                  <c:v>3436</c:v>
                </c:pt>
                <c:pt idx="2">
                  <c:v>3871</c:v>
                </c:pt>
                <c:pt idx="3">
                  <c:v>3722</c:v>
                </c:pt>
                <c:pt idx="4">
                  <c:v>3362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0FD-4D7A-9B47-974656177F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510223"/>
        <c:axId val="62750980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Pessoas!$E$33</c15:sqref>
                        </c15:formulaRef>
                      </c:ext>
                    </c:extLst>
                    <c:strCache>
                      <c:ptCount val="1"/>
                      <c:pt idx="0">
                        <c:v>PRODUTIVIDADE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Pessoas!$B$34:$B$68</c15:sqref>
                        </c15:fullRef>
                        <c15:formulaRef>
                          <c15:sqref>(Pessoas!$B$34:$B$35,Pessoas!$B$38,Pessoas!$B$41,Pessoas!$B$44,Pessoas!$B$47,Pessoas!$B$50,Pessoas!$B$53,Pessoas!$B$56,Pessoas!$B$59,Pessoas!$B$62)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Pessoas!$E$34:$E$68</c15:sqref>
                        </c15:fullRef>
                        <c15:formulaRef>
                          <c15:sqref>(Pessoas!$E$34:$E$35,Pessoas!$E$38,Pessoas!$E$41,Pessoas!$E$44,Pessoas!$E$47,Pessoas!$E$50,Pessoas!$E$53,Pessoas!$E$56,Pessoas!$E$59,Pessoas!$E$62)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75.089656964656967</c:v>
                      </c:pt>
                      <c:pt idx="1">
                        <c:v>73.970605355064023</c:v>
                      </c:pt>
                      <c:pt idx="2">
                        <c:v>72.470162748643759</c:v>
                      </c:pt>
                      <c:pt idx="3">
                        <c:v>66.431488447071473</c:v>
                      </c:pt>
                      <c:pt idx="4">
                        <c:v>74.835514574657935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50FD-4D7A-9B47-974656177FBB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Pessoas!$F$33</c15:sqref>
                        </c15:formulaRef>
                      </c:ext>
                    </c:extLst>
                    <c:strCache>
                      <c:ptCount val="1"/>
                      <c:pt idx="0">
                        <c:v>MO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Pessoas!$B$34:$B$68</c15:sqref>
                        </c15:fullRef>
                        <c15:formulaRef>
                          <c15:sqref>(Pessoas!$B$34:$B$35,Pessoas!$B$38,Pessoas!$B$41,Pessoas!$B$44,Pessoas!$B$47,Pessoas!$B$50,Pessoas!$B$53,Pessoas!$B$56,Pessoas!$B$59,Pessoas!$B$62)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Pessoas!$F$34:$F$68</c15:sqref>
                        </c15:fullRef>
                        <c15:formulaRef>
                          <c15:sqref>(Pessoas!$F$34:$F$35,Pessoas!$F$38,Pessoas!$F$41,Pessoas!$F$44,Pessoas!$F$47,Pessoas!$F$50,Pessoas!$F$53,Pessoas!$F$56,Pessoas!$F$59,Pessoas!$F$62)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0.1123</c:v>
                      </c:pt>
                      <c:pt idx="1">
                        <c:v>0.11070000000000001</c:v>
                      </c:pt>
                      <c:pt idx="2">
                        <c:v>0.1142</c:v>
                      </c:pt>
                      <c:pt idx="3">
                        <c:v>0.10680000000000001</c:v>
                      </c:pt>
                      <c:pt idx="4">
                        <c:v>0.10639999999999999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0FD-4D7A-9B47-974656177FBB}"/>
                  </c:ext>
                </c:extLst>
              </c15:ser>
            </c15:filteredLineSeries>
          </c:ext>
        </c:extLst>
      </c:lineChart>
      <c:catAx>
        <c:axId val="55359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3605071"/>
        <c:crosses val="autoZero"/>
        <c:auto val="1"/>
        <c:lblAlgn val="ctr"/>
        <c:lblOffset val="100"/>
        <c:noMultiLvlLbl val="0"/>
      </c:catAx>
      <c:valAx>
        <c:axId val="55360507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3599663"/>
        <c:crosses val="autoZero"/>
        <c:crossBetween val="between"/>
      </c:valAx>
      <c:valAx>
        <c:axId val="627509807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7510223"/>
        <c:crosses val="max"/>
        <c:crossBetween val="between"/>
      </c:valAx>
      <c:catAx>
        <c:axId val="627510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7509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Queluz</a:t>
            </a:r>
          </a:p>
        </c:rich>
      </c:tx>
      <c:layout>
        <c:manualLayout>
          <c:xMode val="edge"/>
          <c:yMode val="edge"/>
          <c:x val="0.4166248906386702"/>
          <c:y val="2.950668082367783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Pessoas!$N$33</c:f>
              <c:strCache>
                <c:ptCount val="1"/>
                <c:pt idx="0">
                  <c:v>VENDAS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Pessoas!$M$34:$M$68</c15:sqref>
                  </c15:fullRef>
                </c:ext>
              </c:extLst>
              <c:f>(Pessoas!$M$34:$M$35,Pessoas!$M$38,Pessoas!$M$41,Pessoas!$M$44,Pessoas!$M$47,Pessoas!$M$50,Pessoas!$M$53,Pessoas!$M$56,Pessoas!$M$59,Pessoas!$M$62)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Pessoas!$N$34:$N$68</c15:sqref>
                  </c15:fullRef>
                </c:ext>
              </c:extLst>
              <c:f>(Pessoas!$N$34:$N$35,Pessoas!$N$38,Pessoas!$N$41,Pessoas!$N$44,Pessoas!$N$47,Pessoas!$N$50,Pessoas!$N$53,Pessoas!$N$56,Pessoas!$N$59,Pessoas!$N$62)</c:f>
              <c:numCache>
                <c:formatCode>#\ ##0.00\ "€"</c:formatCode>
                <c:ptCount val="11"/>
                <c:pt idx="0">
                  <c:v>157396</c:v>
                </c:pt>
                <c:pt idx="1">
                  <c:v>143160</c:v>
                </c:pt>
                <c:pt idx="2">
                  <c:v>153168</c:v>
                </c:pt>
                <c:pt idx="3">
                  <c:v>142879</c:v>
                </c:pt>
                <c:pt idx="4">
                  <c:v>161979</c:v>
                </c:pt>
                <c:pt idx="5">
                  <c:v>159094</c:v>
                </c:pt>
                <c:pt idx="6">
                  <c:v>165280</c:v>
                </c:pt>
                <c:pt idx="7">
                  <c:v>168534</c:v>
                </c:pt>
                <c:pt idx="8">
                  <c:v>155517</c:v>
                </c:pt>
                <c:pt idx="9">
                  <c:v>161680</c:v>
                </c:pt>
                <c:pt idx="10">
                  <c:v>162732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8F0-4618-8942-5D7021E1D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axId val="553599663"/>
        <c:axId val="553605071"/>
      </c:barChart>
      <c:lineChart>
        <c:grouping val="standard"/>
        <c:varyColors val="0"/>
        <c:ser>
          <c:idx val="1"/>
          <c:order val="1"/>
          <c:tx>
            <c:strRef>
              <c:f>Pessoas!$O$33</c:f>
              <c:strCache>
                <c:ptCount val="1"/>
                <c:pt idx="0">
                  <c:v>HORAS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Pessoas!$M$34:$M$68</c15:sqref>
                  </c15:fullRef>
                </c:ext>
              </c:extLst>
              <c:f>(Pessoas!$M$34:$M$35,Pessoas!$M$38,Pessoas!$M$41,Pessoas!$M$44,Pessoas!$M$47,Pessoas!$M$50,Pessoas!$M$53,Pessoas!$M$56,Pessoas!$M$59,Pessoas!$M$62)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Pessoas!$O$34:$O$68</c15:sqref>
                  </c15:fullRef>
                </c:ext>
              </c:extLst>
              <c:f>(Pessoas!$O$34:$O$35,Pessoas!$O$38,Pessoas!$O$41,Pessoas!$O$44,Pessoas!$O$47,Pessoas!$O$50,Pessoas!$O$53,Pessoas!$O$56,Pessoas!$O$59,Pessoas!$O$62)</c:f>
              <c:numCache>
                <c:formatCode>_-* #\ ##0_-;\-* #\ ##0_-;_-* "-"??_-;_-@_-</c:formatCode>
                <c:ptCount val="11"/>
                <c:pt idx="0" formatCode="General">
                  <c:v>2500</c:v>
                </c:pt>
                <c:pt idx="1">
                  <c:v>2330</c:v>
                </c:pt>
                <c:pt idx="2" formatCode="General">
                  <c:v>2444</c:v>
                </c:pt>
                <c:pt idx="3" formatCode="General">
                  <c:v>2535</c:v>
                </c:pt>
                <c:pt idx="4" formatCode="General">
                  <c:v>2489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8F0-4618-8942-5D7021E1DC2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27510223"/>
        <c:axId val="627509807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Pessoas!$P$33</c15:sqref>
                        </c15:formulaRef>
                      </c:ext>
                    </c:extLst>
                    <c:strCache>
                      <c:ptCount val="1"/>
                      <c:pt idx="0">
                        <c:v>PRODUTIVIDADE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Pessoas!$M$34:$M$68</c15:sqref>
                        </c15:fullRef>
                        <c15:formulaRef>
                          <c15:sqref>(Pessoas!$M$34:$M$35,Pessoas!$M$38,Pessoas!$M$41,Pessoas!$M$44,Pessoas!$M$47,Pessoas!$M$50,Pessoas!$M$53,Pessoas!$M$56,Pessoas!$M$59,Pessoas!$M$62)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Pessoas!$P$34:$P$68</c15:sqref>
                        </c15:fullRef>
                        <c15:formulaRef>
                          <c15:sqref>(Pessoas!$P$34:$P$35,Pessoas!$P$38,Pessoas!$P$41,Pessoas!$P$44,Pessoas!$P$47,Pessoas!$P$50,Pessoas!$P$53,Pessoas!$P$56,Pessoas!$P$59,Pessoas!$P$62)</c15:sqref>
                        </c15:formulaRef>
                      </c:ext>
                    </c:extLst>
                    <c:numCache>
                      <c:formatCode>0.00</c:formatCode>
                      <c:ptCount val="11"/>
                      <c:pt idx="0">
                        <c:v>62.958399999999997</c:v>
                      </c:pt>
                      <c:pt idx="1">
                        <c:v>61.442060085836907</c:v>
                      </c:pt>
                      <c:pt idx="2">
                        <c:v>62.671031096563013</c:v>
                      </c:pt>
                      <c:pt idx="3">
                        <c:v>56.362524654832349</c:v>
                      </c:pt>
                      <c:pt idx="4">
                        <c:v>65.07794294897549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38F0-4618-8942-5D7021E1DC2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Pessoas!$Q$33</c15:sqref>
                        </c15:formulaRef>
                      </c:ext>
                    </c:extLst>
                    <c:strCache>
                      <c:ptCount val="1"/>
                      <c:pt idx="0">
                        <c:v>MO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Pessoas!$M$34:$M$68</c15:sqref>
                        </c15:fullRef>
                        <c15:formulaRef>
                          <c15:sqref>(Pessoas!$M$34:$M$35,Pessoas!$M$38,Pessoas!$M$41,Pessoas!$M$44,Pessoas!$M$47,Pessoas!$M$50,Pessoas!$M$53,Pessoas!$M$56,Pessoas!$M$59,Pessoas!$M$62)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NOVEMBRO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Pessoas!$Q$34:$Q$68</c15:sqref>
                        </c15:fullRef>
                        <c15:formulaRef>
                          <c15:sqref>(Pessoas!$Q$34:$Q$35,Pessoas!$Q$38,Pessoas!$Q$41,Pessoas!$Q$44,Pessoas!$Q$47,Pessoas!$Q$50,Pessoas!$Q$53,Pessoas!$Q$56,Pessoas!$Q$59,Pessoas!$Q$62)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0">
                        <c:v>0.12039999999999999</c:v>
                      </c:pt>
                      <c:pt idx="1">
                        <c:v>0.12540000000000001</c:v>
                      </c:pt>
                      <c:pt idx="2">
                        <c:v>0.11840000000000001</c:v>
                      </c:pt>
                      <c:pt idx="3">
                        <c:v>0.13020000000000001</c:v>
                      </c:pt>
                      <c:pt idx="4">
                        <c:v>0.12180000000000001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38F0-4618-8942-5D7021E1DC29}"/>
                  </c:ext>
                </c:extLst>
              </c15:ser>
            </c15:filteredLineSeries>
          </c:ext>
        </c:extLst>
      </c:lineChart>
      <c:catAx>
        <c:axId val="55359966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3605071"/>
        <c:crosses val="autoZero"/>
        <c:auto val="1"/>
        <c:lblAlgn val="ctr"/>
        <c:lblOffset val="100"/>
        <c:noMultiLvlLbl val="0"/>
      </c:catAx>
      <c:valAx>
        <c:axId val="553605071"/>
        <c:scaling>
          <c:orientation val="minMax"/>
          <c:max val="2000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\ ##0.00\ &quot;€&quot;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53599663"/>
        <c:crosses val="autoZero"/>
        <c:crossBetween val="between"/>
      </c:valAx>
      <c:valAx>
        <c:axId val="627509807"/>
        <c:scaling>
          <c:orientation val="minMax"/>
          <c:max val="4000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627510223"/>
        <c:crosses val="max"/>
        <c:crossBetween val="between"/>
      </c:valAx>
      <c:catAx>
        <c:axId val="627510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627509807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Amadora</a:t>
            </a:r>
          </a:p>
        </c:rich>
      </c:tx>
      <c:overlay val="0"/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3"/>
          <c:order val="0"/>
          <c:tx>
            <c:strRef>
              <c:f>Produto!$O$3</c:f>
              <c:strCache>
                <c:ptCount val="1"/>
                <c:pt idx="0">
                  <c:v>ANO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Produto!$O$4:$O$8</c:f>
              <c:numCache>
                <c:formatCode>0.00%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09DA-41B8-B4BE-21B8BEEC35C3}"/>
            </c:ext>
          </c:extLst>
        </c:ser>
        <c:ser>
          <c:idx val="14"/>
          <c:order val="1"/>
          <c:tx>
            <c:strRef>
              <c:f>Produto!$D$3</c:f>
              <c:strCache>
                <c:ptCount val="1"/>
                <c:pt idx="0">
                  <c:v>FEVEREIRO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Produto!$D$4:$D$8</c:f>
              <c:numCache>
                <c:formatCode>0.00%</c:formatCode>
                <c:ptCount val="5"/>
                <c:pt idx="0">
                  <c:v>0.26</c:v>
                </c:pt>
                <c:pt idx="1">
                  <c:v>3.1199999999999999E-2</c:v>
                </c:pt>
                <c:pt idx="2">
                  <c:v>8.9999999999999993E-3</c:v>
                </c:pt>
                <c:pt idx="3">
                  <c:v>5.0000000000000001E-3</c:v>
                </c:pt>
                <c:pt idx="4">
                  <c:v>2.3999999999999998E-3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09DA-41B8-B4BE-21B8BEEC35C3}"/>
            </c:ext>
          </c:extLst>
        </c:ser>
        <c:ser>
          <c:idx val="15"/>
          <c:order val="2"/>
          <c:tx>
            <c:strRef>
              <c:f>Produto!$E$3</c:f>
              <c:strCache>
                <c:ptCount val="1"/>
                <c:pt idx="0">
                  <c:v>MARÇO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Produto!$E$4:$E$8</c:f>
              <c:numCache>
                <c:formatCode>0.00%</c:formatCode>
                <c:ptCount val="5"/>
                <c:pt idx="0">
                  <c:v>0.26129999999999998</c:v>
                </c:pt>
                <c:pt idx="1">
                  <c:v>3.0800000000000001E-2</c:v>
                </c:pt>
                <c:pt idx="2">
                  <c:v>9.1000000000000004E-3</c:v>
                </c:pt>
                <c:pt idx="3">
                  <c:v>5.0000000000000001E-3</c:v>
                </c:pt>
                <c:pt idx="4">
                  <c:v>2.7000000000000001E-3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09DA-41B8-B4BE-21B8BEEC35C3}"/>
            </c:ext>
          </c:extLst>
        </c:ser>
        <c:ser>
          <c:idx val="16"/>
          <c:order val="3"/>
          <c:tx>
            <c:strRef>
              <c:f>Produto!$F$3</c:f>
              <c:strCache>
                <c:ptCount val="1"/>
                <c:pt idx="0">
                  <c:v>ABRIL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Produto!$F$4:$F$8</c:f>
              <c:numCache>
                <c:formatCode>0.0%</c:formatCode>
                <c:ptCount val="5"/>
                <c:pt idx="0">
                  <c:v>0.26129999999999998</c:v>
                </c:pt>
                <c:pt idx="1">
                  <c:v>3.1E-2</c:v>
                </c:pt>
                <c:pt idx="2">
                  <c:v>8.0000000000000002E-3</c:v>
                </c:pt>
                <c:pt idx="3">
                  <c:v>5.0000000000000001E-3</c:v>
                </c:pt>
                <c:pt idx="4">
                  <c:v>2E-3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3-09DA-41B8-B4BE-21B8BEEC35C3}"/>
            </c:ext>
          </c:extLst>
        </c:ser>
        <c:ser>
          <c:idx val="17"/>
          <c:order val="4"/>
          <c:tx>
            <c:strRef>
              <c:f>Produto!$G$3</c:f>
              <c:strCache>
                <c:ptCount val="1"/>
                <c:pt idx="0">
                  <c:v>MAIO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Produto!$G$4:$G$8</c:f>
              <c:numCache>
                <c:formatCode>0.0%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4-09DA-41B8-B4BE-21B8BEEC35C3}"/>
            </c:ext>
          </c:extLst>
        </c:ser>
        <c:ser>
          <c:idx val="18"/>
          <c:order val="5"/>
          <c:tx>
            <c:strRef>
              <c:f>Produto!$H$3</c:f>
              <c:strCache>
                <c:ptCount val="1"/>
                <c:pt idx="0">
                  <c:v>JUNHO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Produto!$H$4:$H$8</c:f>
              <c:numCache>
                <c:formatCode>0.00%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5-09DA-41B8-B4BE-21B8BEEC35C3}"/>
            </c:ext>
          </c:extLst>
        </c:ser>
        <c:ser>
          <c:idx val="19"/>
          <c:order val="6"/>
          <c:tx>
            <c:strRef>
              <c:f>Produto!$I$3</c:f>
              <c:strCache>
                <c:ptCount val="1"/>
                <c:pt idx="0">
                  <c:v>JULHO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Produto!$I$4:$I$8</c:f>
              <c:numCache>
                <c:formatCode>0.00%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6-09DA-41B8-B4BE-21B8BEEC35C3}"/>
            </c:ext>
          </c:extLst>
        </c:ser>
        <c:ser>
          <c:idx val="20"/>
          <c:order val="7"/>
          <c:tx>
            <c:strRef>
              <c:f>Produto!$J$3</c:f>
              <c:strCache>
                <c:ptCount val="1"/>
                <c:pt idx="0">
                  <c:v>AGOSTO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Produto!$J$4:$J$8</c:f>
              <c:numCache>
                <c:formatCode>0.00%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09DA-41B8-B4BE-21B8BEEC35C3}"/>
            </c:ext>
          </c:extLst>
        </c:ser>
        <c:ser>
          <c:idx val="21"/>
          <c:order val="8"/>
          <c:tx>
            <c:strRef>
              <c:f>Produto!$K$3</c:f>
              <c:strCache>
                <c:ptCount val="1"/>
                <c:pt idx="0">
                  <c:v>SETEMBRO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Produto!$K$4:$K$8</c:f>
              <c:numCache>
                <c:formatCode>0.00%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8-09DA-41B8-B4BE-21B8BEEC35C3}"/>
            </c:ext>
          </c:extLst>
        </c:ser>
        <c:ser>
          <c:idx val="22"/>
          <c:order val="9"/>
          <c:tx>
            <c:strRef>
              <c:f>Produto!$L$3</c:f>
              <c:strCache>
                <c:ptCount val="1"/>
                <c:pt idx="0">
                  <c:v>OUTUBRO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Produto!$L$4:$L$8</c:f>
              <c:numCache>
                <c:formatCode>0.00%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09DA-41B8-B4BE-21B8BEEC35C3}"/>
            </c:ext>
          </c:extLst>
        </c:ser>
        <c:ser>
          <c:idx val="23"/>
          <c:order val="10"/>
          <c:tx>
            <c:strRef>
              <c:f>Produto!$M$3</c:f>
              <c:strCache>
                <c:ptCount val="1"/>
                <c:pt idx="0">
                  <c:v>NOVEMBRO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Produto!$M$4:$M$8</c:f>
              <c:numCache>
                <c:formatCode>0.00%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A-09DA-41B8-B4BE-21B8BEEC35C3}"/>
            </c:ext>
          </c:extLst>
        </c:ser>
        <c:ser>
          <c:idx val="24"/>
          <c:order val="11"/>
          <c:tx>
            <c:strRef>
              <c:f>Produto!$N$3</c:f>
              <c:strCache>
                <c:ptCount val="1"/>
                <c:pt idx="0">
                  <c:v>DEZEMBRO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Produto!$N$4:$N$8</c:f>
              <c:numCache>
                <c:formatCode>0.00%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B-09DA-41B8-B4BE-21B8BEEC35C3}"/>
            </c:ext>
          </c:extLst>
        </c:ser>
        <c:ser>
          <c:idx val="25"/>
          <c:order val="12"/>
          <c:tx>
            <c:strRef>
              <c:f>Produto!$O$3</c:f>
              <c:strCache>
                <c:ptCount val="1"/>
                <c:pt idx="0">
                  <c:v>ANO</c:v>
                </c:pt>
              </c:strCache>
            </c:strRef>
          </c:tx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Produto!$B$4:$B$8</c:f>
              <c:strCache>
                <c:ptCount val="5"/>
                <c:pt idx="0">
                  <c:v>COMIDA (20)</c:v>
                </c:pt>
                <c:pt idx="1">
                  <c:v>PAPEL (20)</c:v>
                </c:pt>
                <c:pt idx="2">
                  <c:v>REFEIÇÕES (20)</c:v>
                </c:pt>
                <c:pt idx="3">
                  <c:v>PERDAS (20)</c:v>
                </c:pt>
                <c:pt idx="4">
                  <c:v>PROMOS (20)</c:v>
                </c:pt>
              </c:strCache>
            </c:strRef>
          </c:cat>
          <c:val>
            <c:numRef>
              <c:f>Produto!$O$4:$O$8</c:f>
              <c:numCache>
                <c:formatCode>0.00%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C-09DA-41B8-B4BE-21B8BEEC35C3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extLst/>
      </c:pie3D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/>
            </a:pPr>
            <a:r>
              <a:rPr lang="en-US"/>
              <a:t>Queluz</a:t>
            </a:r>
          </a:p>
        </c:rich>
      </c:tx>
      <c:overlay val="0"/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13"/>
          <c:order val="0"/>
          <c:dPt>
            <c:idx val="0"/>
            <c:bubble3D val="0"/>
            <c:spPr>
              <a:solidFill>
                <a:schemeClr val="accent1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1-B3D0-40A1-B0F6-B4B5A00D3507}"/>
              </c:ext>
            </c:extLst>
          </c:dPt>
          <c:dPt>
            <c:idx val="1"/>
            <c:bubble3D val="0"/>
            <c:spPr>
              <a:solidFill>
                <a:schemeClr val="accent2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3-B3D0-40A1-B0F6-B4B5A00D3507}"/>
              </c:ext>
            </c:extLst>
          </c:dPt>
          <c:dPt>
            <c:idx val="2"/>
            <c:bubble3D val="0"/>
            <c:spPr>
              <a:solidFill>
                <a:schemeClr val="accent3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5-B3D0-40A1-B0F6-B4B5A00D3507}"/>
              </c:ext>
            </c:extLst>
          </c:dPt>
          <c:dPt>
            <c:idx val="3"/>
            <c:bubble3D val="0"/>
            <c:spPr>
              <a:solidFill>
                <a:schemeClr val="accent4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7-B3D0-40A1-B0F6-B4B5A00D3507}"/>
              </c:ext>
            </c:extLst>
          </c:dPt>
          <c:dPt>
            <c:idx val="4"/>
            <c:bubble3D val="0"/>
            <c:spPr>
              <a:solidFill>
                <a:schemeClr val="accent5"/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>
              <c:ext xmlns:c16="http://schemas.microsoft.com/office/drawing/2014/chart" uri="{C3380CC4-5D6E-409C-BE32-E72D297353CC}">
                <c16:uniqueId val="{00000009-B3D0-40A1-B0F6-B4B5A00D3507}"/>
              </c:ext>
            </c:extLst>
          </c:dPt>
          <c:dLbls>
            <c:spPr>
              <a:noFill/>
              <a:ln>
                <a:noFill/>
              </a:ln>
              <a:effectLst/>
            </c:spPr>
            <c:showLegendKey val="0"/>
            <c:showVal val="0"/>
            <c:showCatName val="0"/>
            <c:showSerName val="0"/>
            <c:showPercent val="1"/>
            <c:showBubbleSize val="0"/>
            <c:showLeaderLines val="1"/>
            <c:extLst xmlns:c15="http://schemas.microsoft.com/office/drawing/2012/chart">
              <c:ext xmlns:c15="http://schemas.microsoft.com/office/drawing/2012/chart" uri="{CE6537A1-D6FC-4f65-9D91-7224C49458BB}"/>
            </c:extLst>
          </c:dLbls>
          <c:cat>
            <c:strRef>
              <c:f>Produto!$B$10:$B$14</c:f>
              <c:strCache>
                <c:ptCount val="5"/>
                <c:pt idx="0">
                  <c:v>COMIDA (32)</c:v>
                </c:pt>
                <c:pt idx="1">
                  <c:v>PAPEL (32)</c:v>
                </c:pt>
                <c:pt idx="2">
                  <c:v>REFEIÇÕES (32)</c:v>
                </c:pt>
                <c:pt idx="3">
                  <c:v>PERDAS (32)</c:v>
                </c:pt>
                <c:pt idx="4">
                  <c:v>PROMOS (32)</c:v>
                </c:pt>
              </c:strCache>
            </c:strRef>
          </c:cat>
          <c:val>
            <c:numRef>
              <c:f>Produto!$O$10:$O$14</c:f>
              <c:numCache>
                <c:formatCode>0.00%</c:formatCode>
                <c:ptCount val="5"/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0-2C70-455A-886C-33FA64FBE10D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1"/>
        </c:dLbls>
        <c:extLst>
          <c:ext xmlns:c15="http://schemas.microsoft.com/office/drawing/2012/chart" uri="{02D57815-91ED-43cb-92C2-25804820EDAC}">
            <c15:filteredPieSeries>
              <c15:ser>
                <c:idx val="0"/>
                <c:order val="1"/>
                <c:dLbls>
                  <c:spPr>
                    <a:noFill/>
                    <a:ln>
                      <a:noFill/>
                    </a:ln>
                    <a:effectLst/>
                  </c:spPr>
                  <c:showLegendKey val="0"/>
                  <c:showVal val="0"/>
                  <c:showCatName val="0"/>
                  <c:showSerName val="0"/>
                  <c:showPercent val="1"/>
                  <c:showBubbleSize val="0"/>
                  <c:showLeaderLines val="1"/>
                  <c:extLst>
                    <c:ext uri="{CE6537A1-D6FC-4f65-9D91-7224C49458BB}"/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Produto!$B$10:$B$14</c15:sqref>
                        </c15:formulaRef>
                      </c:ext>
                    </c:extLst>
                    <c:strCache>
                      <c:ptCount val="5"/>
                      <c:pt idx="0">
                        <c:v>COMIDA (32)</c:v>
                      </c:pt>
                      <c:pt idx="1">
                        <c:v>PAPEL (32)</c:v>
                      </c:pt>
                      <c:pt idx="2">
                        <c:v>REFEIÇÕES (32)</c:v>
                      </c:pt>
                      <c:pt idx="3">
                        <c:v>PERDAS (32)</c:v>
                      </c:pt>
                      <c:pt idx="4">
                        <c:v>PROMOS (32)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Produto!$O$10:$O$14</c15:sqref>
                        </c15:formulaRef>
                      </c:ext>
                    </c:extLst>
                    <c:numCache>
                      <c:formatCode>0.00%</c:formatCode>
                      <c:ptCount val="5"/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83-FE6A-4F1C-A70A-06E728A07E84}"/>
                  </c:ext>
                </c:extLst>
              </c15:ser>
            </c15:filteredPieSeries>
          </c:ext>
        </c:extLst>
      </c:pie3DChart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/>
  </c:chart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EVOLUÇÃO DOS CUSTOS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5"/>
          <c:order val="5"/>
          <c:tx>
            <c:strRef>
              <c:f>Produto!$B$9</c:f>
              <c:strCache>
                <c:ptCount val="1"/>
                <c:pt idx="0">
                  <c:v>C.VENDAS (20)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Produto!$C$3:$O$3</c15:sqref>
                  </c15:fullRef>
                </c:ext>
              </c:extLst>
              <c:f>(Produto!$C$3:$K$3,Produto!$O$3)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Produto!$C$9:$O$9</c15:sqref>
                  </c15:fullRef>
                </c:ext>
              </c:extLst>
              <c:f>(Produto!$C$9:$K$9,Produto!$O$9)</c:f>
              <c:numCache>
                <c:formatCode>0.00%</c:formatCode>
                <c:ptCount val="10"/>
                <c:pt idx="0">
                  <c:v>0.2903</c:v>
                </c:pt>
                <c:pt idx="1">
                  <c:v>0.31</c:v>
                </c:pt>
                <c:pt idx="2">
                  <c:v>0.2772</c:v>
                </c:pt>
                <c:pt idx="3">
                  <c:v>0.30609999999999998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7EA-4E90-BA3C-4D9F4B2E92B4}"/>
            </c:ext>
          </c:extLst>
        </c:ser>
        <c:ser>
          <c:idx val="11"/>
          <c:order val="11"/>
          <c:tx>
            <c:strRef>
              <c:f>Produto!$B$15</c:f>
              <c:strCache>
                <c:ptCount val="1"/>
                <c:pt idx="0">
                  <c:v>C.VENDAS (32)</c:v>
                </c:pt>
              </c:strCache>
            </c:strRef>
          </c:tx>
          <c:spPr>
            <a:solidFill>
              <a:schemeClr val="accent6">
                <a:lumMod val="60000"/>
              </a:schemeClr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Produto!$C$3:$O$3</c15:sqref>
                  </c15:fullRef>
                </c:ext>
              </c:extLst>
              <c:f>(Produto!$C$3:$K$3,Produto!$O$3)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Produto!$C$15:$O$15</c15:sqref>
                  </c15:fullRef>
                </c:ext>
              </c:extLst>
              <c:f>(Produto!$C$15:$K$15,Produto!$O$15)</c:f>
              <c:numCache>
                <c:formatCode>0.00%</c:formatCode>
                <c:ptCount val="10"/>
                <c:pt idx="0">
                  <c:v>0.30199999999999999</c:v>
                </c:pt>
                <c:pt idx="1">
                  <c:v>0.31809999999999999</c:v>
                </c:pt>
                <c:pt idx="2">
                  <c:v>0.32529999999999998</c:v>
                </c:pt>
                <c:pt idx="3">
                  <c:v>0.30969999999999998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E7EA-4E90-BA3C-4D9F4B2E92B4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219"/>
        <c:overlap val="-27"/>
        <c:axId val="512724624"/>
        <c:axId val="51272302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Produto!$B$4</c15:sqref>
                        </c15:formulaRef>
                      </c:ext>
                    </c:extLst>
                    <c:strCache>
                      <c:ptCount val="1"/>
                      <c:pt idx="0">
                        <c:v>COMIDA (20)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ullRef>
                          <c15:sqref>Produto!$C$3:$O$3</c15:sqref>
                        </c15:fullRef>
                        <c15:formulaRef>
                          <c15:sqref>(Produto!$C$3:$K$3,Produto!$O$3)</c15:sqref>
                        </c15:formulaRef>
                      </c:ext>
                    </c:extLst>
                    <c:strCache>
                      <c:ptCount val="10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ANO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Produto!$C$4:$O$4</c15:sqref>
                        </c15:fullRef>
                        <c15:formulaRef>
                          <c15:sqref>(Produto!$C$4:$K$4,Produto!$O$4)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0.2576</c:v>
                      </c:pt>
                      <c:pt idx="1">
                        <c:v>0.26</c:v>
                      </c:pt>
                      <c:pt idx="2">
                        <c:v>0.26129999999999998</c:v>
                      </c:pt>
                      <c:pt idx="3" formatCode="0.0%">
                        <c:v>0.26129999999999998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E7EA-4E90-BA3C-4D9F4B2E92B4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Produto!$B$5</c15:sqref>
                        </c15:formulaRef>
                      </c:ext>
                    </c:extLst>
                    <c:strCache>
                      <c:ptCount val="1"/>
                      <c:pt idx="0">
                        <c:v>PAPEL (20)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Produto!$C$3:$O$3</c15:sqref>
                        </c15:fullRef>
                        <c15:formulaRef>
                          <c15:sqref>(Produto!$C$3:$K$3,Produto!$O$3)</c15:sqref>
                        </c15:formulaRef>
                      </c:ext>
                    </c:extLst>
                    <c:strCache>
                      <c:ptCount val="10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Produto!$C$5:$O$5</c15:sqref>
                        </c15:fullRef>
                        <c15:formulaRef>
                          <c15:sqref>(Produto!$C$5:$K$5,Produto!$O$5)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1.5900000000000001E-2</c:v>
                      </c:pt>
                      <c:pt idx="1">
                        <c:v>3.1199999999999999E-2</c:v>
                      </c:pt>
                      <c:pt idx="2">
                        <c:v>3.0800000000000001E-2</c:v>
                      </c:pt>
                      <c:pt idx="3" formatCode="0.0%">
                        <c:v>3.1E-2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E7EA-4E90-BA3C-4D9F4B2E92B4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Produto!$B$6</c15:sqref>
                        </c15:formulaRef>
                      </c:ext>
                    </c:extLst>
                    <c:strCache>
                      <c:ptCount val="1"/>
                      <c:pt idx="0">
                        <c:v>REFEIÇÕES (20)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Produto!$C$3:$O$3</c15:sqref>
                        </c15:fullRef>
                        <c15:formulaRef>
                          <c15:sqref>(Produto!$C$3:$K$3,Produto!$O$3)</c15:sqref>
                        </c15:formulaRef>
                      </c:ext>
                    </c:extLst>
                    <c:strCache>
                      <c:ptCount val="10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Produto!$C$6:$O$6</c15:sqref>
                        </c15:fullRef>
                        <c15:formulaRef>
                          <c15:sqref>(Produto!$C$6:$K$6,Produto!$O$6)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8.2000000000000007E-3</c:v>
                      </c:pt>
                      <c:pt idx="1">
                        <c:v>8.9999999999999993E-3</c:v>
                      </c:pt>
                      <c:pt idx="2">
                        <c:v>9.1000000000000004E-3</c:v>
                      </c:pt>
                      <c:pt idx="3" formatCode="0.0%">
                        <c:v>8.0000000000000002E-3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E7EA-4E90-BA3C-4D9F4B2E92B4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Produto!$B$7</c15:sqref>
                        </c15:formulaRef>
                      </c:ext>
                    </c:extLst>
                    <c:strCache>
                      <c:ptCount val="1"/>
                      <c:pt idx="0">
                        <c:v>PERDAS (20)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Produto!$C$3:$O$3</c15:sqref>
                        </c15:fullRef>
                        <c15:formulaRef>
                          <c15:sqref>(Produto!$C$3:$K$3,Produto!$O$3)</c15:sqref>
                        </c15:formulaRef>
                      </c:ext>
                    </c:extLst>
                    <c:strCache>
                      <c:ptCount val="10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Produto!$C$7:$O$7</c15:sqref>
                        </c15:fullRef>
                        <c15:formulaRef>
                          <c15:sqref>(Produto!$C$7:$K$7,Produto!$O$7)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5.1999999999999998E-3</c:v>
                      </c:pt>
                      <c:pt idx="1">
                        <c:v>5.0000000000000001E-3</c:v>
                      </c:pt>
                      <c:pt idx="2">
                        <c:v>5.0000000000000001E-3</c:v>
                      </c:pt>
                      <c:pt idx="3" formatCode="0.0%">
                        <c:v>5.0000000000000001E-3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E7EA-4E90-BA3C-4D9F4B2E92B4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Produto!$B$8</c15:sqref>
                        </c15:formulaRef>
                      </c:ext>
                    </c:extLst>
                    <c:strCache>
                      <c:ptCount val="1"/>
                      <c:pt idx="0">
                        <c:v>PROMOS (20)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Produto!$C$3:$O$3</c15:sqref>
                        </c15:fullRef>
                        <c15:formulaRef>
                          <c15:sqref>(Produto!$C$3:$K$3,Produto!$O$3)</c15:sqref>
                        </c15:formulaRef>
                      </c:ext>
                    </c:extLst>
                    <c:strCache>
                      <c:ptCount val="10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Produto!$C$8:$O$8</c15:sqref>
                        </c15:fullRef>
                        <c15:formulaRef>
                          <c15:sqref>(Produto!$C$8:$K$8,Produto!$O$8)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1.6999999999999999E-3</c:v>
                      </c:pt>
                      <c:pt idx="1">
                        <c:v>2.3999999999999998E-3</c:v>
                      </c:pt>
                      <c:pt idx="2">
                        <c:v>2.7000000000000001E-3</c:v>
                      </c:pt>
                      <c:pt idx="3" formatCode="0.0%">
                        <c:v>2E-3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E7EA-4E90-BA3C-4D9F4B2E92B4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Produto!$B$10</c15:sqref>
                        </c15:formulaRef>
                      </c:ext>
                    </c:extLst>
                    <c:strCache>
                      <c:ptCount val="1"/>
                      <c:pt idx="0">
                        <c:v>COMIDA (32)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Produto!$C$3:$O$3</c15:sqref>
                        </c15:fullRef>
                        <c15:formulaRef>
                          <c15:sqref>(Produto!$C$3:$K$3,Produto!$O$3)</c15:sqref>
                        </c15:formulaRef>
                      </c:ext>
                    </c:extLst>
                    <c:strCache>
                      <c:ptCount val="10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Produto!$C$10:$O$10</c15:sqref>
                        </c15:fullRef>
                        <c15:formulaRef>
                          <c15:sqref>(Produto!$C$10:$K$10,Produto!$O$10)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0.24940000000000001</c:v>
                      </c:pt>
                      <c:pt idx="1">
                        <c:v>0.2671</c:v>
                      </c:pt>
                      <c:pt idx="2">
                        <c:v>0.27229999999999999</c:v>
                      </c:pt>
                      <c:pt idx="3">
                        <c:v>0.25469999999999998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E7EA-4E90-BA3C-4D9F4B2E92B4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Produto!$B$11</c15:sqref>
                        </c15:formulaRef>
                      </c:ext>
                    </c:extLst>
                    <c:strCache>
                      <c:ptCount val="1"/>
                      <c:pt idx="0">
                        <c:v>PAPEL (32)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Produto!$C$3:$O$3</c15:sqref>
                        </c15:fullRef>
                        <c15:formulaRef>
                          <c15:sqref>(Produto!$C$3:$K$3,Produto!$O$3)</c15:sqref>
                        </c15:formulaRef>
                      </c:ext>
                    </c:extLst>
                    <c:strCache>
                      <c:ptCount val="10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Produto!$C$11:$O$11</c15:sqref>
                        </c15:fullRef>
                        <c15:formulaRef>
                          <c15:sqref>(Produto!$C$11:$K$11,Produto!$O$11)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0.03</c:v>
                      </c:pt>
                      <c:pt idx="1">
                        <c:v>3.1399999999999997E-2</c:v>
                      </c:pt>
                      <c:pt idx="2">
                        <c:v>3.39E-2</c:v>
                      </c:pt>
                      <c:pt idx="3">
                        <c:v>3.3799999999999997E-2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E7EA-4E90-BA3C-4D9F4B2E92B4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Produto!$B$12</c15:sqref>
                        </c15:formulaRef>
                      </c:ext>
                    </c:extLst>
                    <c:strCache>
                      <c:ptCount val="1"/>
                      <c:pt idx="0">
                        <c:v>REFEIÇÕES (32)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Produto!$C$3:$O$3</c15:sqref>
                        </c15:fullRef>
                        <c15:formulaRef>
                          <c15:sqref>(Produto!$C$3:$K$3,Produto!$O$3)</c15:sqref>
                        </c15:formulaRef>
                      </c:ext>
                    </c:extLst>
                    <c:strCache>
                      <c:ptCount val="10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Produto!$C$12:$O$12</c15:sqref>
                        </c15:fullRef>
                        <c15:formulaRef>
                          <c15:sqref>(Produto!$C$12:$K$12,Produto!$O$12)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1.0500000000000001E-2</c:v>
                      </c:pt>
                      <c:pt idx="1">
                        <c:v>9.4999999999999998E-3</c:v>
                      </c:pt>
                      <c:pt idx="2">
                        <c:v>8.8999999999999999E-3</c:v>
                      </c:pt>
                      <c:pt idx="3">
                        <c:v>9.7999999999999997E-3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E7EA-4E90-BA3C-4D9F4B2E92B4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Produto!$B$13</c15:sqref>
                        </c15:formulaRef>
                      </c:ext>
                    </c:extLst>
                    <c:strCache>
                      <c:ptCount val="1"/>
                      <c:pt idx="0">
                        <c:v>PERDAS (32)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Produto!$C$3:$O$3</c15:sqref>
                        </c15:fullRef>
                        <c15:formulaRef>
                          <c15:sqref>(Produto!$C$3:$K$3,Produto!$O$3)</c15:sqref>
                        </c15:formulaRef>
                      </c:ext>
                    </c:extLst>
                    <c:strCache>
                      <c:ptCount val="10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Produto!$C$13:$O$13</c15:sqref>
                        </c15:fullRef>
                        <c15:formulaRef>
                          <c15:sqref>(Produto!$C$13:$K$13,Produto!$O$13)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7.1000000000000004E-3</c:v>
                      </c:pt>
                      <c:pt idx="1">
                        <c:v>7.4000000000000003E-3</c:v>
                      </c:pt>
                      <c:pt idx="2">
                        <c:v>6.8999999999999999E-3</c:v>
                      </c:pt>
                      <c:pt idx="3">
                        <c:v>8.6E-3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E7EA-4E90-BA3C-4D9F4B2E92B4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Produto!$B$14</c15:sqref>
                        </c15:formulaRef>
                      </c:ext>
                    </c:extLst>
                    <c:strCache>
                      <c:ptCount val="1"/>
                      <c:pt idx="0">
                        <c:v>PROMOS (32)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Produto!$C$3:$O$3</c15:sqref>
                        </c15:fullRef>
                        <c15:formulaRef>
                          <c15:sqref>(Produto!$C$3:$K$3,Produto!$O$3)</c15:sqref>
                        </c15:formulaRef>
                      </c:ext>
                    </c:extLst>
                    <c:strCache>
                      <c:ptCount val="10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Produto!$C$14:$O$14</c15:sqref>
                        </c15:fullRef>
                        <c15:formulaRef>
                          <c15:sqref>(Produto!$C$14:$K$14,Produto!$O$14)</c15:sqref>
                        </c15:formulaRef>
                      </c:ext>
                    </c:extLst>
                    <c:numCache>
                      <c:formatCode>0.00%</c:formatCode>
                      <c:ptCount val="10"/>
                      <c:pt idx="0">
                        <c:v>2.5000000000000001E-3</c:v>
                      </c:pt>
                      <c:pt idx="1">
                        <c:v>2.7000000000000001E-3</c:v>
                      </c:pt>
                      <c:pt idx="2">
                        <c:v>3.3E-3</c:v>
                      </c:pt>
                      <c:pt idx="3">
                        <c:v>2.8E-3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E7EA-4E90-BA3C-4D9F4B2E92B4}"/>
                  </c:ext>
                </c:extLst>
              </c15:ser>
            </c15:filteredBarSeries>
          </c:ext>
        </c:extLst>
      </c:barChart>
      <c:catAx>
        <c:axId val="51272462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2723024"/>
        <c:crosses val="autoZero"/>
        <c:auto val="1"/>
        <c:lblAlgn val="ctr"/>
        <c:lblOffset val="100"/>
        <c:noMultiLvlLbl val="0"/>
      </c:catAx>
      <c:valAx>
        <c:axId val="5127230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27246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AVALIAÇÕES DE QUALIDADE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3"/>
          <c:order val="3"/>
          <c:tx>
            <c:strRef>
              <c:f>Produto!$B$154</c:f>
              <c:strCache>
                <c:ptCount val="1"/>
                <c:pt idx="0">
                  <c:v>MÉDIA (20)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Produto!$C$150:$O$150</c15:sqref>
                  </c15:fullRef>
                </c:ext>
              </c:extLst>
              <c:f>(Produto!$C$150:$L$150,Produto!$O$150)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Produto!$C$154:$O$154</c15:sqref>
                  </c15:fullRef>
                </c:ext>
              </c:extLst>
              <c:f>(Produto!$C$154:$L$154,Produto!$O$154)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1944-40C2-905B-D3D2EAF37880}"/>
            </c:ext>
          </c:extLst>
        </c:ser>
        <c:ser>
          <c:idx val="7"/>
          <c:order val="7"/>
          <c:tx>
            <c:strRef>
              <c:f>Produto!$B$158</c:f>
              <c:strCache>
                <c:ptCount val="1"/>
                <c:pt idx="0">
                  <c:v>MÉDIA (32)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Produto!$C$150:$O$150</c15:sqref>
                  </c15:fullRef>
                </c:ext>
              </c:extLst>
              <c:f>(Produto!$C$150:$L$150,Produto!$O$150)</c:f>
              <c:strCache>
                <c:ptCount val="11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ANO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Produto!$C$158:$O$158</c15:sqref>
                  </c15:fullRef>
                </c:ext>
              </c:extLst>
              <c:f>(Produto!$C$158:$L$158,Produto!$O$158)</c:f>
              <c:numCache>
                <c:formatCode>0.00%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1944-40C2-905B-D3D2EAF3788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486444048"/>
        <c:axId val="512719184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Produto!$B$151</c15:sqref>
                        </c15:formulaRef>
                      </c:ext>
                    </c:extLst>
                    <c:strCache>
                      <c:ptCount val="1"/>
                      <c:pt idx="0">
                        <c:v>Supevisor (20)</c:v>
                      </c:pt>
                    </c:strCache>
                  </c:strRef>
                </c:tx>
                <c:spPr>
                  <a:solidFill>
                    <a:schemeClr val="accent1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ullRef>
                          <c15:sqref>Produto!$C$150:$O$150</c15:sqref>
                        </c15:fullRef>
                        <c15:formulaRef>
                          <c15:sqref>(Produto!$C$150:$L$150,Produto!$O$150)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Produto!$C$151:$O$151</c15:sqref>
                        </c15:fullRef>
                        <c15:formulaRef>
                          <c15:sqref>(Produto!$C$151:$L$151,Produto!$O$151)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1944-40C2-905B-D3D2EAF37880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Produto!$B$152</c15:sqref>
                        </c15:formulaRef>
                      </c:ext>
                    </c:extLst>
                    <c:strCache>
                      <c:ptCount val="1"/>
                      <c:pt idx="0">
                        <c:v>Gestor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Produto!$C$150:$O$150</c15:sqref>
                        </c15:fullRef>
                        <c15:formulaRef>
                          <c15:sqref>(Produto!$C$150:$L$150,Produto!$O$150)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Produto!$C$152:$O$152</c15:sqref>
                        </c15:fullRef>
                        <c15:formulaRef>
                          <c15:sqref>(Produto!$C$152:$L$152,Produto!$O$152)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1944-40C2-905B-D3D2EAF37880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Produto!$B$153</c15:sqref>
                        </c15:formulaRef>
                      </c:ext>
                    </c:extLst>
                    <c:strCache>
                      <c:ptCount val="1"/>
                      <c:pt idx="0">
                        <c:v>Controlvet (20)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Produto!$C$150:$O$150</c15:sqref>
                        </c15:fullRef>
                        <c15:formulaRef>
                          <c15:sqref>(Produto!$C$150:$L$150,Produto!$O$150)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Produto!$C$153:$O$153</c15:sqref>
                        </c15:fullRef>
                        <c15:formulaRef>
                          <c15:sqref>(Produto!$C$153:$L$153,Produto!$O$153)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1944-40C2-905B-D3D2EAF37880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Produto!$B$155</c15:sqref>
                        </c15:formulaRef>
                      </c:ext>
                    </c:extLst>
                    <c:strCache>
                      <c:ptCount val="1"/>
                      <c:pt idx="0">
                        <c:v>Supervisor (32)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Produto!$C$150:$O$150</c15:sqref>
                        </c15:fullRef>
                        <c15:formulaRef>
                          <c15:sqref>(Produto!$C$150:$L$150,Produto!$O$150)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Produto!$C$155:$O$155</c15:sqref>
                        </c15:fullRef>
                        <c15:formulaRef>
                          <c15:sqref>(Produto!$C$155:$L$155,Produto!$O$155)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1944-40C2-905B-D3D2EAF37880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Produto!$B$156</c15:sqref>
                        </c15:formulaRef>
                      </c:ext>
                    </c:extLst>
                    <c:strCache>
                      <c:ptCount val="1"/>
                      <c:pt idx="0">
                        <c:v>Gestor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Produto!$C$150:$O$150</c15:sqref>
                        </c15:fullRef>
                        <c15:formulaRef>
                          <c15:sqref>(Produto!$C$150:$L$150,Produto!$O$150)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Produto!$C$156:$O$156</c15:sqref>
                        </c15:fullRef>
                        <c15:formulaRef>
                          <c15:sqref>(Produto!$C$156:$L$156,Produto!$O$156)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1944-40C2-905B-D3D2EAF37880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Produto!$B$157</c15:sqref>
                        </c15:formulaRef>
                      </c:ext>
                    </c:extLst>
                    <c:strCache>
                      <c:ptCount val="1"/>
                      <c:pt idx="0">
                        <c:v>Controlvet (32)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Produto!$C$150:$O$150</c15:sqref>
                        </c15:fullRef>
                        <c15:formulaRef>
                          <c15:sqref>(Produto!$C$150:$L$150,Produto!$O$150)</c15:sqref>
                        </c15:formulaRef>
                      </c:ext>
                    </c:extLst>
                    <c:strCache>
                      <c:ptCount val="11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  <c:pt idx="4">
                        <c:v>MAIO</c:v>
                      </c:pt>
                      <c:pt idx="5">
                        <c:v>JUNHO</c:v>
                      </c:pt>
                      <c:pt idx="6">
                        <c:v>JULHO</c:v>
                      </c:pt>
                      <c:pt idx="7">
                        <c:v>AGOSTO</c:v>
                      </c:pt>
                      <c:pt idx="8">
                        <c:v>SETEMBRO</c:v>
                      </c:pt>
                      <c:pt idx="9">
                        <c:v>OUTUBRO</c:v>
                      </c:pt>
                      <c:pt idx="10">
                        <c:v>ANO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Produto!$C$157:$O$157</c15:sqref>
                        </c15:fullRef>
                        <c15:formulaRef>
                          <c15:sqref>(Produto!$C$157:$L$157,Produto!$O$157)</c15:sqref>
                        </c15:formulaRef>
                      </c:ext>
                    </c:extLst>
                    <c:numCache>
                      <c:formatCode>0.00%</c:formatCode>
                      <c:ptCount val="11"/>
                      <c:pt idx="1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1944-40C2-905B-D3D2EAF37880}"/>
                  </c:ext>
                </c:extLst>
              </c15:ser>
            </c15:filteredBarSeries>
          </c:ext>
        </c:extLst>
      </c:barChart>
      <c:catAx>
        <c:axId val="486444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12719184"/>
        <c:crosses val="autoZero"/>
        <c:auto val="1"/>
        <c:lblAlgn val="ctr"/>
        <c:lblOffset val="100"/>
        <c:noMultiLvlLbl val="0"/>
      </c:catAx>
      <c:valAx>
        <c:axId val="512719184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86444048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</c:dTable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COMPARATIVO</a:t>
            </a:r>
            <a:r>
              <a:rPr lang="pt-PT" baseline="0"/>
              <a:t> DESVIOS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6.0584311651813195E-2"/>
          <c:y val="6.6740182791899305E-2"/>
          <c:w val="0.92939738456534371"/>
          <c:h val="0.87230453074883019"/>
        </c:manualLayout>
      </c:layout>
      <c:lineChart>
        <c:grouping val="stacked"/>
        <c:varyColors val="0"/>
        <c:ser>
          <c:idx val="0"/>
          <c:order val="0"/>
          <c:tx>
            <c:strRef>
              <c:f>Produto!$C$32:$C$33</c:f>
              <c:strCache>
                <c:ptCount val="2"/>
                <c:pt idx="0">
                  <c:v>PÃO REG</c:v>
                </c:pt>
                <c:pt idx="1">
                  <c:v>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Produto!$B$34:$B$67</c15:sqref>
                  </c15:fullRef>
                </c:ext>
              </c:extLst>
              <c:f>(Produto!$B$34:$B$35,Produto!$B$38,Produto!$B$41)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Produto!$C$34:$C$67</c15:sqref>
                  </c15:fullRef>
                </c:ext>
              </c:extLst>
              <c:f>(Produto!$C$34:$C$35,Produto!$C$38,Produto!$C$41)</c:f>
              <c:numCache>
                <c:formatCode>General</c:formatCode>
                <c:ptCount val="4"/>
                <c:pt idx="0">
                  <c:v>-293</c:v>
                </c:pt>
                <c:pt idx="1">
                  <c:v>-177</c:v>
                </c:pt>
                <c:pt idx="2">
                  <c:v>-45</c:v>
                </c:pt>
                <c:pt idx="3">
                  <c:v>-172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EE7-46A0-B532-28194EBC7E99}"/>
            </c:ext>
          </c:extLst>
        </c:ser>
        <c:ser>
          <c:idx val="1"/>
          <c:order val="1"/>
          <c:tx>
            <c:strRef>
              <c:f>Produto!$D$32:$D$33</c:f>
              <c:strCache>
                <c:ptCount val="2"/>
                <c:pt idx="0">
                  <c:v>PÃO REG</c:v>
                </c:pt>
                <c:pt idx="1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Produto!$B$34:$B$67</c15:sqref>
                  </c15:fullRef>
                </c:ext>
              </c:extLst>
              <c:f>(Produto!$B$34:$B$35,Produto!$B$38,Produto!$B$41)</c:f>
              <c:strCache>
                <c:ptCount val="4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Produto!$D$34:$D$67</c15:sqref>
                  </c15:fullRef>
                </c:ext>
              </c:extLst>
              <c:f>(Produto!$D$34:$D$35,Produto!$D$38,Produto!$D$41)</c:f>
              <c:numCache>
                <c:formatCode>General</c:formatCode>
                <c:ptCount val="4"/>
                <c:pt idx="0">
                  <c:v>-62</c:v>
                </c:pt>
                <c:pt idx="1">
                  <c:v>-77</c:v>
                </c:pt>
                <c:pt idx="2">
                  <c:v>-133</c:v>
                </c:pt>
                <c:pt idx="3">
                  <c:v>-130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EE7-46A0-B532-28194EBC7E9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587972600"/>
        <c:axId val="587975160"/>
        <c:extLst>
          <c:ext xmlns:c15="http://schemas.microsoft.com/office/drawing/2012/chart" uri="{02D57815-91ED-43cb-92C2-25804820EDAC}">
            <c15:filteredLineSeries>
              <c15:ser>
                <c:idx val="2"/>
                <c:order val="2"/>
                <c:tx>
                  <c:strRef>
                    <c:extLst>
                      <c:ext uri="{02D57815-91ED-43cb-92C2-25804820EDAC}">
                        <c15:formulaRef>
                          <c15:sqref>Produto!$E$32:$E$33</c15:sqref>
                        </c15:formulaRef>
                      </c:ext>
                    </c:extLst>
                    <c:strCache>
                      <c:ptCount val="2"/>
                      <c:pt idx="0">
                        <c:v>CARNE REG</c:v>
                      </c:pt>
                      <c:pt idx="1">
                        <c:v>20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Produto!$E$34:$E$67</c15:sqref>
                        </c15:fullRef>
                        <c15:formulaRef>
                          <c15:sqref>(Produto!$E$34:$E$35,Produto!$E$38,Produto!$E$41)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-75</c:v>
                      </c:pt>
                      <c:pt idx="1">
                        <c:v>126</c:v>
                      </c:pt>
                      <c:pt idx="2">
                        <c:v>-14</c:v>
                      </c:pt>
                      <c:pt idx="3">
                        <c:v>-107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EE7-46A0-B532-28194EBC7E99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Produto!$F$32:$F$33</c15:sqref>
                        </c15:formulaRef>
                      </c:ext>
                    </c:extLst>
                    <c:strCache>
                      <c:ptCount val="2"/>
                      <c:pt idx="0">
                        <c:v>CARNE REG</c:v>
                      </c:pt>
                      <c:pt idx="1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Produto!$F$34:$F$67</c15:sqref>
                        </c15:fullRef>
                        <c15:formulaRef>
                          <c15:sqref>(Produto!$F$34:$F$35,Produto!$F$38,Produto!$F$41)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16</c:v>
                      </c:pt>
                      <c:pt idx="1">
                        <c:v>-95</c:v>
                      </c:pt>
                      <c:pt idx="2">
                        <c:v>-146</c:v>
                      </c:pt>
                      <c:pt idx="3">
                        <c:v>-140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EE7-46A0-B532-28194EBC7E99}"/>
                  </c:ext>
                </c:extLst>
              </c15:ser>
            </c15:filteredLineSeries>
            <c15:filteredLine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Produto!$G$32:$G$33</c15:sqref>
                        </c15:formulaRef>
                      </c:ext>
                    </c:extLst>
                    <c:strCache>
                      <c:ptCount val="2"/>
                      <c:pt idx="0">
                        <c:v>CARNE ROYAL</c:v>
                      </c:pt>
                      <c:pt idx="1">
                        <c:v>20</c:v>
                      </c:pt>
                    </c:strCache>
                  </c:strRef>
                </c:tx>
                <c:spPr>
                  <a:ln w="28575" cap="rnd">
                    <a:solidFill>
                      <a:schemeClr val="accent5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Produto!$G$34:$G$67</c15:sqref>
                        </c15:fullRef>
                        <c15:formulaRef>
                          <c15:sqref>(Produto!$G$34:$G$35,Produto!$G$38,Produto!$G$41)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-62</c:v>
                      </c:pt>
                      <c:pt idx="1">
                        <c:v>94</c:v>
                      </c:pt>
                      <c:pt idx="2">
                        <c:v>61</c:v>
                      </c:pt>
                      <c:pt idx="3">
                        <c:v>76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EE7-46A0-B532-28194EBC7E99}"/>
                  </c:ext>
                </c:extLst>
              </c15:ser>
            </c15:filteredLineSeries>
            <c15:filteredLine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Produto!$H$32:$H$33</c15:sqref>
                        </c15:formulaRef>
                      </c:ext>
                    </c:extLst>
                    <c:strCache>
                      <c:ptCount val="2"/>
                      <c:pt idx="0">
                        <c:v>CARNE ROYAL</c:v>
                      </c:pt>
                      <c:pt idx="1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6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Produto!$H$34:$H$67</c15:sqref>
                        </c15:fullRef>
                        <c15:formulaRef>
                          <c15:sqref>(Produto!$H$34:$H$35,Produto!$H$38,Produto!$H$41)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-20</c:v>
                      </c:pt>
                      <c:pt idx="1">
                        <c:v>10</c:v>
                      </c:pt>
                      <c:pt idx="2">
                        <c:v>-15</c:v>
                      </c:pt>
                      <c:pt idx="3">
                        <c:v>-5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EE7-46A0-B532-28194EBC7E99}"/>
                  </c:ext>
                </c:extLst>
              </c15:ser>
            </c15:filteredLineSeries>
            <c15:filteredLine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Produto!$I$32:$I$33</c15:sqref>
                        </c15:formulaRef>
                      </c:ext>
                    </c:extLst>
                    <c:strCache>
                      <c:ptCount val="2"/>
                      <c:pt idx="0">
                        <c:v>CHK OPT</c:v>
                      </c:pt>
                      <c:pt idx="1">
                        <c:v>20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Produto!$I$34:$I$67</c15:sqref>
                        </c15:fullRef>
                        <c15:formulaRef>
                          <c15:sqref>(Produto!$I$34:$I$35,Produto!$I$38,Produto!$I$41)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19</c:v>
                      </c:pt>
                      <c:pt idx="1">
                        <c:v>25</c:v>
                      </c:pt>
                      <c:pt idx="2">
                        <c:v>-33</c:v>
                      </c:pt>
                      <c:pt idx="3">
                        <c:v>497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CEE7-46A0-B532-28194EBC7E99}"/>
                  </c:ext>
                </c:extLst>
              </c15:ser>
            </c15:filteredLineSeries>
            <c15:filteredLine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Produto!$J$32:$J$33</c15:sqref>
                        </c15:formulaRef>
                      </c:ext>
                    </c:extLst>
                    <c:strCache>
                      <c:ptCount val="2"/>
                      <c:pt idx="0">
                        <c:v>CHK OPT</c:v>
                      </c:pt>
                      <c:pt idx="1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Produto!$J$34:$J$67</c15:sqref>
                        </c15:fullRef>
                        <c15:formulaRef>
                          <c15:sqref>(Produto!$J$34:$J$35,Produto!$J$38,Produto!$J$41)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-9</c:v>
                      </c:pt>
                      <c:pt idx="1">
                        <c:v>-16</c:v>
                      </c:pt>
                      <c:pt idx="2">
                        <c:v>-18</c:v>
                      </c:pt>
                      <c:pt idx="3">
                        <c:v>-40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CEE7-46A0-B532-28194EBC7E99}"/>
                  </c:ext>
                </c:extLst>
              </c15:ser>
            </c15:filteredLineSeries>
            <c15:filteredLine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Produto!$K$32:$K$33</c15:sqref>
                        </c15:formulaRef>
                      </c:ext>
                    </c:extLst>
                    <c:strCache>
                      <c:ptCount val="2"/>
                      <c:pt idx="0">
                        <c:v>CHK NUGGETS</c:v>
                      </c:pt>
                      <c:pt idx="1">
                        <c:v>20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Produto!$K$34:$K$67</c15:sqref>
                        </c15:fullRef>
                        <c15:formulaRef>
                          <c15:sqref>(Produto!$K$34:$K$35,Produto!$K$38,Produto!$K$41)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-40</c:v>
                      </c:pt>
                      <c:pt idx="1">
                        <c:v>-472</c:v>
                      </c:pt>
                      <c:pt idx="2">
                        <c:v>-358</c:v>
                      </c:pt>
                      <c:pt idx="3">
                        <c:v>-656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CEE7-46A0-B532-28194EBC7E99}"/>
                  </c:ext>
                </c:extLst>
              </c15:ser>
            </c15:filteredLineSeries>
            <c15:filteredLine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Produto!$L$32:$L$33</c15:sqref>
                        </c15:formulaRef>
                      </c:ext>
                    </c:extLst>
                    <c:strCache>
                      <c:ptCount val="2"/>
                      <c:pt idx="0">
                        <c:v>CHK NUGGETS</c:v>
                      </c:pt>
                      <c:pt idx="1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Produto!$L$34:$L$67</c15:sqref>
                        </c15:fullRef>
                        <c15:formulaRef>
                          <c15:sqref>(Produto!$L$34:$L$35,Produto!$L$38,Produto!$L$41)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-9</c:v>
                      </c:pt>
                      <c:pt idx="1">
                        <c:v>-334</c:v>
                      </c:pt>
                      <c:pt idx="2">
                        <c:v>-245</c:v>
                      </c:pt>
                      <c:pt idx="3">
                        <c:v>-135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CEE7-46A0-B532-28194EBC7E99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Produto!$M$32:$M$33</c15:sqref>
                        </c15:formulaRef>
                      </c:ext>
                    </c:extLst>
                    <c:strCache>
                      <c:ptCount val="2"/>
                      <c:pt idx="0">
                        <c:v>BACON FATIAS</c:v>
                      </c:pt>
                      <c:pt idx="1">
                        <c:v>20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Produto!$M$34:$M$67</c15:sqref>
                        </c15:fullRef>
                        <c15:formulaRef>
                          <c15:sqref>(Produto!$M$34:$M$35,Produto!$M$38,Produto!$M$41)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203</c:v>
                      </c:pt>
                      <c:pt idx="1">
                        <c:v>-567</c:v>
                      </c:pt>
                      <c:pt idx="2">
                        <c:v>623</c:v>
                      </c:pt>
                      <c:pt idx="3">
                        <c:v>429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CEE7-46A0-B532-28194EBC7E99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Produto!$N$32:$N$33</c15:sqref>
                        </c15:formulaRef>
                      </c:ext>
                    </c:extLst>
                    <c:strCache>
                      <c:ptCount val="2"/>
                      <c:pt idx="0">
                        <c:v>BACON FATIAS</c:v>
                      </c:pt>
                      <c:pt idx="1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Produto!$N$34:$N$67</c15:sqref>
                        </c15:fullRef>
                        <c15:formulaRef>
                          <c15:sqref>(Produto!$N$34:$N$35,Produto!$N$38,Produto!$N$41)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70</c:v>
                      </c:pt>
                      <c:pt idx="1">
                        <c:v>254</c:v>
                      </c:pt>
                      <c:pt idx="2">
                        <c:v>202</c:v>
                      </c:pt>
                      <c:pt idx="3">
                        <c:v>332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CEE7-46A0-B532-28194EBC7E99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Produto!$O$32:$O$33</c15:sqref>
                        </c15:formulaRef>
                      </c:ext>
                    </c:extLst>
                    <c:strCache>
                      <c:ptCount val="2"/>
                      <c:pt idx="0">
                        <c:v>COMPAL M/L</c:v>
                      </c:pt>
                      <c:pt idx="1">
                        <c:v>20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Produto!$O$34:$O$67</c15:sqref>
                        </c15:fullRef>
                        <c15:formulaRef>
                          <c15:sqref>(Produto!$O$34:$O$35,Produto!$O$38,Produto!$O$41)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-11</c:v>
                      </c:pt>
                      <c:pt idx="1">
                        <c:v>-24</c:v>
                      </c:pt>
                      <c:pt idx="2">
                        <c:v>-31</c:v>
                      </c:pt>
                      <c:pt idx="3">
                        <c:v>-14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2DCA-4B0B-9259-526885B08DE4}"/>
                  </c:ext>
                </c:extLst>
              </c15:ser>
            </c15:filteredLineSeries>
            <c15:filteredLine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Produto!$P$32:$P$33</c15:sqref>
                        </c15:formulaRef>
                      </c:ext>
                    </c:extLst>
                    <c:strCache>
                      <c:ptCount val="2"/>
                      <c:pt idx="0">
                        <c:v>COMPAL M/L</c:v>
                      </c:pt>
                      <c:pt idx="1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2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Produto!$P$34:$P$67</c15:sqref>
                        </c15:fullRef>
                        <c15:formulaRef>
                          <c15:sqref>(Produto!$P$34:$P$35,Produto!$P$38,Produto!$P$41)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-16</c:v>
                      </c:pt>
                      <c:pt idx="1">
                        <c:v>-17</c:v>
                      </c:pt>
                      <c:pt idx="2">
                        <c:v>-24</c:v>
                      </c:pt>
                      <c:pt idx="3">
                        <c:v>-10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2DCA-4B0B-9259-526885B08DE4}"/>
                  </c:ext>
                </c:extLst>
              </c15:ser>
            </c15:filteredLineSeries>
            <c15:filteredLine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Produto!$Q$32:$Q$33</c15:sqref>
                        </c15:formulaRef>
                      </c:ext>
                    </c:extLst>
                    <c:strCache>
                      <c:ptCount val="2"/>
                      <c:pt idx="0">
                        <c:v>QUEIJO CHEDDAR</c:v>
                      </c:pt>
                      <c:pt idx="1">
                        <c:v>20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Produto!$Q$34:$Q$67</c15:sqref>
                        </c15:fullRef>
                        <c15:formulaRef>
                          <c15:sqref>(Produto!$Q$34:$Q$35,Produto!$Q$38,Produto!$Q$41)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280</c:v>
                      </c:pt>
                      <c:pt idx="1">
                        <c:v>-509</c:v>
                      </c:pt>
                      <c:pt idx="2">
                        <c:v>-107</c:v>
                      </c:pt>
                      <c:pt idx="3">
                        <c:v>-156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2DCA-4B0B-9259-526885B08DE4}"/>
                  </c:ext>
                </c:extLst>
              </c15:ser>
            </c15:filteredLineSeries>
            <c15:filteredLine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Produto!$R$32:$R$33</c15:sqref>
                        </c15:formulaRef>
                      </c:ext>
                    </c:extLst>
                    <c:strCache>
                      <c:ptCount val="2"/>
                      <c:pt idx="0">
                        <c:v>QUEIJO CHEDDAR</c:v>
                      </c:pt>
                      <c:pt idx="1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Produto!$R$34:$R$67</c15:sqref>
                        </c15:fullRef>
                        <c15:formulaRef>
                          <c15:sqref>(Produto!$R$34:$R$35,Produto!$R$38,Produto!$R$41)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-274</c:v>
                      </c:pt>
                      <c:pt idx="1">
                        <c:v>-148</c:v>
                      </c:pt>
                      <c:pt idx="2">
                        <c:v>-141</c:v>
                      </c:pt>
                      <c:pt idx="3">
                        <c:v>-157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2DCA-4B0B-9259-526885B08DE4}"/>
                  </c:ext>
                </c:extLst>
              </c15:ser>
            </c15:filteredLineSeries>
            <c15:filteredLine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Produto!$S$32:$S$33</c15:sqref>
                        </c15:formulaRef>
                      </c:ext>
                    </c:extLst>
                    <c:strCache>
                      <c:ptCount val="2"/>
                      <c:pt idx="0">
                        <c:v>QUEIJO EMMENTAL/WHITE</c:v>
                      </c:pt>
                      <c:pt idx="1">
                        <c:v>20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Produto!$S$34:$S$67</c15:sqref>
                        </c15:fullRef>
                        <c15:formulaRef>
                          <c15:sqref>(Produto!$S$34:$S$35,Produto!$S$38,Produto!$S$41)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-21</c:v>
                      </c:pt>
                      <c:pt idx="1">
                        <c:v>-130</c:v>
                      </c:pt>
                      <c:pt idx="2">
                        <c:v>-92</c:v>
                      </c:pt>
                      <c:pt idx="3">
                        <c:v>-4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2DCA-4B0B-9259-526885B08DE4}"/>
                  </c:ext>
                </c:extLst>
              </c15:ser>
            </c15:filteredLineSeries>
            <c15:filteredLine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Produto!$T$32:$T$33</c15:sqref>
                        </c15:formulaRef>
                      </c:ext>
                    </c:extLst>
                    <c:strCache>
                      <c:ptCount val="2"/>
                      <c:pt idx="0">
                        <c:v>QUEIJO EMMENTAL/WHITE</c:v>
                      </c:pt>
                      <c:pt idx="1">
                        <c:v>32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Produto!$B$34:$B$67</c15:sqref>
                        </c15:fullRef>
                        <c15:formulaRef>
                          <c15:sqref>(Produto!$B$34:$B$35,Produto!$B$38,Produto!$B$41)</c15:sqref>
                        </c15:formulaRef>
                      </c:ext>
                    </c:extLst>
                    <c:strCache>
                      <c:ptCount val="4"/>
                      <c:pt idx="0">
                        <c:v>JANEIRO</c:v>
                      </c:pt>
                      <c:pt idx="1">
                        <c:v>FEVEREIRO</c:v>
                      </c:pt>
                      <c:pt idx="2">
                        <c:v>MARÇO</c:v>
                      </c:pt>
                      <c:pt idx="3">
                        <c:v>ABRIL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Produto!$T$34:$T$67</c15:sqref>
                        </c15:fullRef>
                        <c15:formulaRef>
                          <c15:sqref>(Produto!$T$34:$T$35,Produto!$T$38,Produto!$T$41)</c15:sqref>
                        </c15:formulaRef>
                      </c:ext>
                    </c:extLst>
                    <c:numCache>
                      <c:formatCode>General</c:formatCode>
                      <c:ptCount val="4"/>
                      <c:pt idx="0">
                        <c:v>-59</c:v>
                      </c:pt>
                      <c:pt idx="1">
                        <c:v>-68</c:v>
                      </c:pt>
                      <c:pt idx="2">
                        <c:v>-79</c:v>
                      </c:pt>
                      <c:pt idx="3">
                        <c:v>12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2DCA-4B0B-9259-526885B08DE4}"/>
                  </c:ext>
                </c:extLst>
              </c15:ser>
            </c15:filteredLineSeries>
          </c:ext>
        </c:extLst>
      </c:lineChart>
      <c:catAx>
        <c:axId val="58797260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7975160"/>
        <c:crosses val="autoZero"/>
        <c:auto val="1"/>
        <c:lblAlgn val="ctr"/>
        <c:lblOffset val="100"/>
        <c:noMultiLvlLbl val="0"/>
      </c:catAx>
      <c:valAx>
        <c:axId val="58797516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797260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2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COMPARATIVO</a:t>
            </a:r>
            <a:r>
              <a:rPr lang="pt-PT" baseline="0"/>
              <a:t> RENDIMENTOS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Produto!$C$72:$C$73</c:f>
              <c:strCache>
                <c:ptCount val="2"/>
                <c:pt idx="0">
                  <c:v>BATATA</c:v>
                </c:pt>
                <c:pt idx="1">
                  <c:v>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(Produto!$C$74:$C$75,Produto!$C$78,Produto!$C$81,Produto!$C$84,Produto!$C$87,Produto!$C$90,Produto!$C$93,Produto!$C$96,Produto!$C$99,Produto!$C$102,Produto!$C$105)</c15:sqref>
                  </c15:fullRef>
                </c:ext>
              </c:extLst>
              <c:f>(Produto!$C$74:$C$75,Produto!$C$78,Produto!$C$81,Produto!$C$84,Produto!$C$87,Produto!$C$90,Produto!$C$93,Produto!$C$96,Produto!$C$99)</c:f>
              <c:numCache>
                <c:formatCode>General</c:formatCode>
                <c:ptCount val="10"/>
                <c:pt idx="0">
                  <c:v>-30</c:v>
                </c:pt>
                <c:pt idx="1">
                  <c:v>-136</c:v>
                </c:pt>
                <c:pt idx="2">
                  <c:v>27.66</c:v>
                </c:pt>
                <c:pt idx="3">
                  <c:v>-89</c:v>
                </c:pt>
                <c:pt idx="4">
                  <c:v>-7.9</c:v>
                </c:pt>
                <c:pt idx="5">
                  <c:v>-25.4</c:v>
                </c:pt>
                <c:pt idx="6">
                  <c:v>75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7E7-4358-A08B-CC30FB8E0F8D}"/>
            </c:ext>
          </c:extLst>
        </c:ser>
        <c:ser>
          <c:idx val="1"/>
          <c:order val="1"/>
          <c:tx>
            <c:strRef>
              <c:f>Produto!$D$72:$D$73</c:f>
              <c:strCache>
                <c:ptCount val="2"/>
                <c:pt idx="0">
                  <c:v>BATATA</c:v>
                </c:pt>
                <c:pt idx="1">
                  <c:v>32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(Produto!$D$74:$D$75,Produto!$D$78,Produto!$D$81,Produto!$D$84,Produto!$D$87,Produto!$D$90,Produto!$D$93,Produto!$D$96,Produto!$D$99,Produto!$D$102,Produto!$D$105)</c15:sqref>
                  </c15:fullRef>
                </c:ext>
              </c:extLst>
              <c:f>(Produto!$D$74:$D$75,Produto!$D$78,Produto!$D$81,Produto!$D$84,Produto!$D$87,Produto!$D$90,Produto!$D$93,Produto!$D$96,Produto!$D$99)</c:f>
              <c:numCache>
                <c:formatCode>General</c:formatCode>
                <c:ptCount val="10"/>
                <c:pt idx="0">
                  <c:v>-6.6</c:v>
                </c:pt>
                <c:pt idx="1">
                  <c:v>-5</c:v>
                </c:pt>
                <c:pt idx="2">
                  <c:v>-42</c:v>
                </c:pt>
                <c:pt idx="3">
                  <c:v>-67</c:v>
                </c:pt>
                <c:pt idx="5">
                  <c:v>3</c:v>
                </c:pt>
                <c:pt idx="6">
                  <c:v>60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7E7-4358-A08B-CC30FB8E0F8D}"/>
            </c:ext>
          </c:extLst>
        </c:ser>
        <c:ser>
          <c:idx val="2"/>
          <c:order val="2"/>
          <c:tx>
            <c:strRef>
              <c:f>Produto!$E$72:$E$73</c:f>
              <c:strCache>
                <c:ptCount val="2"/>
                <c:pt idx="0">
                  <c:v>ALFACE L6</c:v>
                </c:pt>
                <c:pt idx="1">
                  <c:v>20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(Produto!$E$74:$E$75,Produto!$E$78,Produto!$E$81,Produto!$E$84,Produto!$E$87,Produto!$E$90,Produto!$E$93,Produto!$E$96,Produto!$E$99,Produto!$E$102,Produto!$E$105)</c15:sqref>
                  </c15:fullRef>
                </c:ext>
              </c:extLst>
              <c:f>(Produto!$E$74:$E$75,Produto!$E$78,Produto!$E$81,Produto!$E$84,Produto!$E$87,Produto!$E$90,Produto!$E$93,Produto!$E$96,Produto!$E$99)</c:f>
              <c:numCache>
                <c:formatCode>General</c:formatCode>
                <c:ptCount val="10"/>
                <c:pt idx="0">
                  <c:v>57</c:v>
                </c:pt>
                <c:pt idx="1">
                  <c:v>27.135999999999999</c:v>
                </c:pt>
                <c:pt idx="2">
                  <c:v>56.603000000000002</c:v>
                </c:pt>
                <c:pt idx="3">
                  <c:v>20</c:v>
                </c:pt>
                <c:pt idx="4">
                  <c:v>9.66</c:v>
                </c:pt>
                <c:pt idx="5">
                  <c:v>-38.92</c:v>
                </c:pt>
                <c:pt idx="6">
                  <c:v>-15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341E-4AF7-93E2-55232E34B4A7}"/>
            </c:ext>
          </c:extLst>
        </c:ser>
        <c:ser>
          <c:idx val="3"/>
          <c:order val="3"/>
          <c:tx>
            <c:strRef>
              <c:f>Produto!$F$72:$F$73</c:f>
              <c:strCache>
                <c:ptCount val="2"/>
                <c:pt idx="0">
                  <c:v>ALFACE L6</c:v>
                </c:pt>
                <c:pt idx="1">
                  <c:v>32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(Produto!$F$74:$F$75,Produto!$F$78,Produto!$F$81,Produto!$F$84,Produto!$F$87,Produto!$F$90,Produto!$F$93,Produto!$F$96,Produto!$F$99,Produto!$F$102,Produto!$F$105)</c15:sqref>
                  </c15:fullRef>
                </c:ext>
              </c:extLst>
              <c:f>(Produto!$F$74:$F$75,Produto!$F$78,Produto!$F$81,Produto!$F$84,Produto!$F$87,Produto!$F$90,Produto!$F$93,Produto!$F$96,Produto!$F$99)</c:f>
              <c:numCache>
                <c:formatCode>General</c:formatCode>
                <c:ptCount val="10"/>
                <c:pt idx="0">
                  <c:v>6.2</c:v>
                </c:pt>
                <c:pt idx="1">
                  <c:v>1.4</c:v>
                </c:pt>
                <c:pt idx="2">
                  <c:v>25</c:v>
                </c:pt>
                <c:pt idx="3">
                  <c:v>3.5</c:v>
                </c:pt>
                <c:pt idx="5">
                  <c:v>-1.5</c:v>
                </c:pt>
                <c:pt idx="6">
                  <c:v>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41E-4AF7-93E2-55232E34B4A7}"/>
            </c:ext>
          </c:extLst>
        </c:ser>
        <c:ser>
          <c:idx val="4"/>
          <c:order val="4"/>
          <c:tx>
            <c:strRef>
              <c:f>Produto!$G$72:$G$73</c:f>
              <c:strCache>
                <c:ptCount val="2"/>
                <c:pt idx="0">
                  <c:v>SOPAS</c:v>
                </c:pt>
                <c:pt idx="1">
                  <c:v>20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(Produto!$G$74:$G$75,Produto!$G$78,Produto!$G$81,Produto!$G$84,Produto!$G$87,Produto!$G$90,Produto!$G$93,Produto!$G$96,Produto!$G$99,Produto!$G$102,Produto!$G$105)</c15:sqref>
                  </c15:fullRef>
                </c:ext>
              </c:extLst>
              <c:f>(Produto!$G$74:$G$75,Produto!$G$78,Produto!$G$81,Produto!$G$84,Produto!$G$87,Produto!$G$90,Produto!$G$93,Produto!$G$96,Produto!$G$99)</c:f>
              <c:numCache>
                <c:formatCode>General</c:formatCode>
                <c:ptCount val="10"/>
                <c:pt idx="1">
                  <c:v>-50.5</c:v>
                </c:pt>
                <c:pt idx="2">
                  <c:v>-19</c:v>
                </c:pt>
                <c:pt idx="3">
                  <c:v>-53.89</c:v>
                </c:pt>
                <c:pt idx="4">
                  <c:v>-22.93</c:v>
                </c:pt>
                <c:pt idx="5">
                  <c:v>41.5</c:v>
                </c:pt>
                <c:pt idx="6">
                  <c:v>-81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341E-4AF7-93E2-55232E34B4A7}"/>
            </c:ext>
          </c:extLst>
        </c:ser>
        <c:ser>
          <c:idx val="5"/>
          <c:order val="5"/>
          <c:tx>
            <c:strRef>
              <c:f>Produto!$H$72:$H$73</c:f>
              <c:strCache>
                <c:ptCount val="2"/>
                <c:pt idx="0">
                  <c:v>SOPAS</c:v>
                </c:pt>
                <c:pt idx="1">
                  <c:v>32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(Produto!$H$74:$H$75,Produto!$H$78,Produto!$H$81,Produto!$H$84,Produto!$H$87,Produto!$H$90,Produto!$H$93,Produto!$H$96,Produto!$H$99,Produto!$H$102,Produto!$H$105)</c15:sqref>
                  </c15:fullRef>
                </c:ext>
              </c:extLst>
              <c:f>(Produto!$H$74:$H$75,Produto!$H$78,Produto!$H$81,Produto!$H$84,Produto!$H$87,Produto!$H$90,Produto!$H$93,Produto!$H$96,Produto!$H$99)</c:f>
              <c:numCache>
                <c:formatCode>General</c:formatCode>
                <c:ptCount val="10"/>
                <c:pt idx="2">
                  <c:v>-26.8</c:v>
                </c:pt>
                <c:pt idx="3">
                  <c:v>-5.7</c:v>
                </c:pt>
                <c:pt idx="5">
                  <c:v>-15.5</c:v>
                </c:pt>
                <c:pt idx="6">
                  <c:v>-20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341E-4AF7-93E2-55232E34B4A7}"/>
            </c:ext>
          </c:extLst>
        </c:ser>
        <c:ser>
          <c:idx val="6"/>
          <c:order val="6"/>
          <c:tx>
            <c:strRef>
              <c:f>Produto!$I$72:$I$73</c:f>
              <c:strCache>
                <c:ptCount val="2"/>
                <c:pt idx="0">
                  <c:v>COB CHOCOLATE</c:v>
                </c:pt>
                <c:pt idx="1">
                  <c:v>20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(Produto!$I$74:$I$75,Produto!$I$78,Produto!$I$81,Produto!$I$84,Produto!$I$87,Produto!$I$90,Produto!$I$93,Produto!$I$96,Produto!$I$99,Produto!$I$102,Produto!$I$105)</c15:sqref>
                  </c15:fullRef>
                </c:ext>
              </c:extLst>
              <c:f>(Produto!$I$74:$I$75,Produto!$I$78,Produto!$I$81,Produto!$I$84,Produto!$I$87,Produto!$I$90,Produto!$I$93,Produto!$I$96,Produto!$I$99)</c:f>
              <c:numCache>
                <c:formatCode>General</c:formatCode>
                <c:ptCount val="10"/>
                <c:pt idx="0">
                  <c:v>5.5</c:v>
                </c:pt>
                <c:pt idx="1">
                  <c:v>4.04</c:v>
                </c:pt>
                <c:pt idx="2">
                  <c:v>5.4</c:v>
                </c:pt>
                <c:pt idx="3">
                  <c:v>6</c:v>
                </c:pt>
                <c:pt idx="4">
                  <c:v>2.9</c:v>
                </c:pt>
                <c:pt idx="5">
                  <c:v>4.7</c:v>
                </c:pt>
                <c:pt idx="6">
                  <c:v>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341E-4AF7-93E2-55232E34B4A7}"/>
            </c:ext>
          </c:extLst>
        </c:ser>
        <c:ser>
          <c:idx val="7"/>
          <c:order val="7"/>
          <c:tx>
            <c:strRef>
              <c:f>Produto!$J$72:$J$73</c:f>
              <c:strCache>
                <c:ptCount val="2"/>
                <c:pt idx="0">
                  <c:v>COB CHOCOLATE</c:v>
                </c:pt>
                <c:pt idx="1">
                  <c:v>32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(Produto!$J$74:$J$75,Produto!$J$78,Produto!$J$81,Produto!$J$84,Produto!$J$87,Produto!$J$90,Produto!$J$93,Produto!$J$96,Produto!$J$99,Produto!$J$102,Produto!$J$105)</c15:sqref>
                  </c15:fullRef>
                </c:ext>
              </c:extLst>
              <c:f>(Produto!$J$74:$J$75,Produto!$J$78,Produto!$J$81,Produto!$J$84,Produto!$J$87,Produto!$J$90,Produto!$J$93,Produto!$J$96,Produto!$J$99)</c:f>
              <c:numCache>
                <c:formatCode>General</c:formatCode>
                <c:ptCount val="10"/>
                <c:pt idx="0">
                  <c:v>2</c:v>
                </c:pt>
                <c:pt idx="1">
                  <c:v>0.6</c:v>
                </c:pt>
                <c:pt idx="2">
                  <c:v>3.5</c:v>
                </c:pt>
                <c:pt idx="3">
                  <c:v>0.3</c:v>
                </c:pt>
                <c:pt idx="5">
                  <c:v>-1.5</c:v>
                </c:pt>
                <c:pt idx="6">
                  <c:v>-1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341E-4AF7-93E2-55232E34B4A7}"/>
            </c:ext>
          </c:extLst>
        </c:ser>
        <c:ser>
          <c:idx val="8"/>
          <c:order val="8"/>
          <c:tx>
            <c:strRef>
              <c:f>Produto!$K$72:$K$73</c:f>
              <c:strCache>
                <c:ptCount val="2"/>
                <c:pt idx="0">
                  <c:v>COB CARAMELO</c:v>
                </c:pt>
                <c:pt idx="1">
                  <c:v>20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(Produto!$K$74:$K$75,Produto!$K$78,Produto!$K$81,Produto!$K$84,Produto!$K$87,Produto!$K$90,Produto!$K$93,Produto!$K$96,Produto!$K$99,Produto!$K$102,Produto!$K$105)</c15:sqref>
                  </c15:fullRef>
                </c:ext>
              </c:extLst>
              <c:f>(Produto!$K$74:$K$75,Produto!$K$78,Produto!$K$81,Produto!$K$84,Produto!$K$87,Produto!$K$90,Produto!$K$93,Produto!$K$96,Produto!$K$99)</c:f>
              <c:numCache>
                <c:formatCode>General</c:formatCode>
                <c:ptCount val="10"/>
                <c:pt idx="0">
                  <c:v>6.9</c:v>
                </c:pt>
                <c:pt idx="1">
                  <c:v>3.6</c:v>
                </c:pt>
                <c:pt idx="2">
                  <c:v>-6.3</c:v>
                </c:pt>
                <c:pt idx="3">
                  <c:v>-7.7</c:v>
                </c:pt>
                <c:pt idx="4">
                  <c:v>3.28</c:v>
                </c:pt>
                <c:pt idx="5">
                  <c:v>11.58</c:v>
                </c:pt>
                <c:pt idx="6">
                  <c:v>20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7-341E-4AF7-93E2-55232E34B4A7}"/>
            </c:ext>
          </c:extLst>
        </c:ser>
        <c:ser>
          <c:idx val="9"/>
          <c:order val="9"/>
          <c:tx>
            <c:strRef>
              <c:f>Produto!$L$72:$L$73</c:f>
              <c:strCache>
                <c:ptCount val="2"/>
                <c:pt idx="0">
                  <c:v>COB CARAMELO</c:v>
                </c:pt>
                <c:pt idx="1">
                  <c:v>32</c:v>
                </c:pt>
              </c:strCache>
            </c:strRef>
          </c:tx>
          <c:spPr>
            <a:ln w="28575" cap="rnd">
              <a:solidFill>
                <a:schemeClr val="accent4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60000"/>
                </a:schemeClr>
              </a:solidFill>
              <a:ln w="9525">
                <a:solidFill>
                  <a:schemeClr val="accent4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(Produto!$L$74:$L$75,Produto!$L$78,Produto!$L$81,Produto!$L$84,Produto!$L$87,Produto!$L$90,Produto!$L$93,Produto!$L$96,Produto!$L$99,Produto!$L$102,Produto!$L$105)</c15:sqref>
                  </c15:fullRef>
                </c:ext>
              </c:extLst>
              <c:f>(Produto!$L$74:$L$75,Produto!$L$78,Produto!$L$81,Produto!$L$84,Produto!$L$87,Produto!$L$90,Produto!$L$93,Produto!$L$96,Produto!$L$99)</c:f>
              <c:numCache>
                <c:formatCode>General</c:formatCode>
                <c:ptCount val="10"/>
                <c:pt idx="0">
                  <c:v>1.2</c:v>
                </c:pt>
                <c:pt idx="1">
                  <c:v>-1.3</c:v>
                </c:pt>
                <c:pt idx="2">
                  <c:v>2</c:v>
                </c:pt>
                <c:pt idx="3">
                  <c:v>0.7</c:v>
                </c:pt>
                <c:pt idx="5">
                  <c:v>-4.0999999999999996</c:v>
                </c:pt>
                <c:pt idx="6">
                  <c:v>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341E-4AF7-93E2-55232E34B4A7}"/>
            </c:ext>
          </c:extLst>
        </c:ser>
        <c:ser>
          <c:idx val="10"/>
          <c:order val="10"/>
          <c:tx>
            <c:strRef>
              <c:f>Produto!$M$72:$M$73</c:f>
              <c:strCache>
                <c:ptCount val="2"/>
                <c:pt idx="0">
                  <c:v>COB MORANGO</c:v>
                </c:pt>
                <c:pt idx="1">
                  <c:v>20</c:v>
                </c:pt>
              </c:strCache>
            </c:strRef>
          </c:tx>
          <c:spPr>
            <a:ln w="28575" cap="rnd">
              <a:solidFill>
                <a:schemeClr val="accent5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60000"/>
                </a:schemeClr>
              </a:solidFill>
              <a:ln w="9525">
                <a:solidFill>
                  <a:schemeClr val="accent5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(Produto!$M$74:$M$75,Produto!$M$78,Produto!$M$81,Produto!$M$84,Produto!$M$87,Produto!$M$90,Produto!$M$93,Produto!$M$96,Produto!$M$99,Produto!$M$102,Produto!$M$105)</c15:sqref>
                  </c15:fullRef>
                </c:ext>
              </c:extLst>
              <c:f>(Produto!$M$74:$M$75,Produto!$M$78,Produto!$M$81,Produto!$M$84,Produto!$M$87,Produto!$M$90,Produto!$M$93,Produto!$M$96,Produto!$M$99)</c:f>
              <c:numCache>
                <c:formatCode>General</c:formatCode>
                <c:ptCount val="10"/>
                <c:pt idx="0">
                  <c:v>0.24</c:v>
                </c:pt>
                <c:pt idx="1">
                  <c:v>-0.6</c:v>
                </c:pt>
                <c:pt idx="2">
                  <c:v>-1.24</c:v>
                </c:pt>
                <c:pt idx="3">
                  <c:v>-6.9</c:v>
                </c:pt>
                <c:pt idx="4">
                  <c:v>1.62</c:v>
                </c:pt>
                <c:pt idx="5">
                  <c:v>-5.0999999999999996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341E-4AF7-93E2-55232E34B4A7}"/>
            </c:ext>
          </c:extLst>
        </c:ser>
        <c:ser>
          <c:idx val="11"/>
          <c:order val="11"/>
          <c:tx>
            <c:strRef>
              <c:f>Produto!$N$72:$N$73</c:f>
              <c:strCache>
                <c:ptCount val="2"/>
                <c:pt idx="0">
                  <c:v>COB MORANGO</c:v>
                </c:pt>
                <c:pt idx="1">
                  <c:v>32</c:v>
                </c:pt>
              </c:strCache>
            </c:strRef>
          </c:tx>
          <c:spPr>
            <a:ln w="28575" cap="rnd">
              <a:solidFill>
                <a:schemeClr val="accent6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60000"/>
                </a:schemeClr>
              </a:solidFill>
              <a:ln w="9525">
                <a:solidFill>
                  <a:schemeClr val="accent6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(Produto!$N$74:$N$75,Produto!$N$78,Produto!$N$81,Produto!$N$84,Produto!$N$87,Produto!$N$90,Produto!$N$93,Produto!$N$96,Produto!$N$99,Produto!$N$102,Produto!$N$105)</c15:sqref>
                  </c15:fullRef>
                </c:ext>
              </c:extLst>
              <c:f>(Produto!$N$74:$N$75,Produto!$N$78,Produto!$N$81,Produto!$N$84,Produto!$N$87,Produto!$N$90,Produto!$N$93,Produto!$N$96,Produto!$N$99)</c:f>
              <c:numCache>
                <c:formatCode>General</c:formatCode>
                <c:ptCount val="10"/>
                <c:pt idx="0">
                  <c:v>-1.6</c:v>
                </c:pt>
                <c:pt idx="1">
                  <c:v>-3.6</c:v>
                </c:pt>
                <c:pt idx="2">
                  <c:v>-2.6</c:v>
                </c:pt>
                <c:pt idx="3">
                  <c:v>-5</c:v>
                </c:pt>
                <c:pt idx="5">
                  <c:v>-3.2</c:v>
                </c:pt>
                <c:pt idx="6">
                  <c:v>-7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341E-4AF7-93E2-55232E34B4A7}"/>
            </c:ext>
          </c:extLst>
        </c:ser>
        <c:ser>
          <c:idx val="12"/>
          <c:order val="12"/>
          <c:tx>
            <c:strRef>
              <c:f>Produto!$O$72:$O$73</c:f>
              <c:strCache>
                <c:ptCount val="2"/>
                <c:pt idx="0">
                  <c:v>COB SNICKERS</c:v>
                </c:pt>
                <c:pt idx="1">
                  <c:v>20</c:v>
                </c:pt>
              </c:strCache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(Produto!$O$74:$O$75,Produto!$O$78,Produto!$O$81,Produto!$O$84,Produto!$O$87,Produto!$O$90,Produto!$O$93,Produto!$O$96,Produto!$O$99,Produto!$O$102,Produto!$O$105)</c15:sqref>
                  </c15:fullRef>
                </c:ext>
              </c:extLst>
              <c:f>(Produto!$O$74:$O$75,Produto!$O$78,Produto!$O$81,Produto!$O$84,Produto!$O$87,Produto!$O$90,Produto!$O$93,Produto!$O$96,Produto!$O$99)</c:f>
              <c:numCache>
                <c:formatCode>General</c:formatCode>
                <c:ptCount val="10"/>
                <c:pt idx="0">
                  <c:v>4.7</c:v>
                </c:pt>
                <c:pt idx="1">
                  <c:v>5.4</c:v>
                </c:pt>
                <c:pt idx="3">
                  <c:v>5</c:v>
                </c:pt>
                <c:pt idx="4">
                  <c:v>4.51</c:v>
                </c:pt>
                <c:pt idx="5">
                  <c:v>3.4</c:v>
                </c:pt>
                <c:pt idx="6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341E-4AF7-93E2-55232E34B4A7}"/>
            </c:ext>
          </c:extLst>
        </c:ser>
        <c:ser>
          <c:idx val="13"/>
          <c:order val="13"/>
          <c:tx>
            <c:strRef>
              <c:f>Produto!$P$72:$P$73</c:f>
              <c:strCache>
                <c:ptCount val="2"/>
                <c:pt idx="0">
                  <c:v>COB SNICKERS</c:v>
                </c:pt>
                <c:pt idx="1">
                  <c:v>32</c:v>
                </c:pt>
              </c:strCache>
            </c:strRef>
          </c:tx>
          <c:spPr>
            <a:ln w="28575" cap="rnd">
              <a:solidFill>
                <a:schemeClr val="accent2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80000"/>
                  <a:lumOff val="20000"/>
                </a:schemeClr>
              </a:solidFill>
              <a:ln w="9525">
                <a:solidFill>
                  <a:schemeClr val="accent2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(Produto!$P$74:$P$75,Produto!$P$78,Produto!$P$81,Produto!$P$84,Produto!$P$87,Produto!$P$90,Produto!$P$93,Produto!$P$96,Produto!$P$99,Produto!$P$102,Produto!$P$105)</c15:sqref>
                  </c15:fullRef>
                </c:ext>
              </c:extLst>
              <c:f>(Produto!$P$74:$P$75,Produto!$P$78,Produto!$P$81,Produto!$P$84,Produto!$P$87,Produto!$P$90,Produto!$P$93,Produto!$P$96,Produto!$P$99)</c:f>
              <c:numCache>
                <c:formatCode>General</c:formatCode>
                <c:ptCount val="10"/>
                <c:pt idx="0">
                  <c:v>2.2000000000000002</c:v>
                </c:pt>
                <c:pt idx="1">
                  <c:v>2.8</c:v>
                </c:pt>
                <c:pt idx="2">
                  <c:v>2.1</c:v>
                </c:pt>
                <c:pt idx="3">
                  <c:v>2</c:v>
                </c:pt>
                <c:pt idx="5">
                  <c:v>0.6</c:v>
                </c:pt>
                <c:pt idx="6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C-341E-4AF7-93E2-55232E34B4A7}"/>
            </c:ext>
          </c:extLst>
        </c:ser>
        <c:ser>
          <c:idx val="14"/>
          <c:order val="14"/>
          <c:tx>
            <c:strRef>
              <c:f>Produto!$Q$72:$Q$73</c:f>
              <c:strCache>
                <c:ptCount val="2"/>
                <c:pt idx="0">
                  <c:v>COB MARS</c:v>
                </c:pt>
                <c:pt idx="1">
                  <c:v>20</c:v>
                </c:pt>
              </c:strCache>
            </c:strRef>
          </c:tx>
          <c:spPr>
            <a:ln w="28575" cap="rnd">
              <a:solidFill>
                <a:schemeClr val="accent3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80000"/>
                  <a:lumOff val="20000"/>
                </a:schemeClr>
              </a:solidFill>
              <a:ln w="9525">
                <a:solidFill>
                  <a:schemeClr val="accent3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(Produto!$Q$74:$Q$75,Produto!$Q$78,Produto!$Q$81,Produto!$Q$84,Produto!$Q$87,Produto!$Q$90,Produto!$Q$93,Produto!$Q$96,Produto!$Q$99,Produto!$Q$102,Produto!$Q$105)</c15:sqref>
                  </c15:fullRef>
                </c:ext>
              </c:extLst>
              <c:f>(Produto!$Q$74:$Q$75,Produto!$Q$78,Produto!$Q$81,Produto!$Q$84,Produto!$Q$87,Produto!$Q$90,Produto!$Q$93,Produto!$Q$96,Produto!$Q$99)</c:f>
              <c:numCache>
                <c:formatCode>General</c:formatCode>
                <c:ptCount val="10"/>
                <c:pt idx="0">
                  <c:v>-7.8</c:v>
                </c:pt>
                <c:pt idx="1">
                  <c:v>-9</c:v>
                </c:pt>
                <c:pt idx="2">
                  <c:v>-10.724</c:v>
                </c:pt>
                <c:pt idx="3">
                  <c:v>-83</c:v>
                </c:pt>
                <c:pt idx="4">
                  <c:v>-8.14</c:v>
                </c:pt>
                <c:pt idx="5">
                  <c:v>-6</c:v>
                </c:pt>
                <c:pt idx="6">
                  <c:v>-10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D-341E-4AF7-93E2-55232E34B4A7}"/>
            </c:ext>
          </c:extLst>
        </c:ser>
        <c:ser>
          <c:idx val="15"/>
          <c:order val="15"/>
          <c:tx>
            <c:strRef>
              <c:f>Produto!$R$72:$R$73</c:f>
              <c:strCache>
                <c:ptCount val="2"/>
                <c:pt idx="0">
                  <c:v>COB MARS</c:v>
                </c:pt>
                <c:pt idx="1">
                  <c:v>32</c:v>
                </c:pt>
              </c:strCache>
            </c:strRef>
          </c:tx>
          <c:spPr>
            <a:ln w="28575" cap="rnd">
              <a:solidFill>
                <a:schemeClr val="accent4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>
                  <a:lumMod val="80000"/>
                  <a:lumOff val="20000"/>
                </a:schemeClr>
              </a:solidFill>
              <a:ln w="9525">
                <a:solidFill>
                  <a:schemeClr val="accent4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(Produto!$R$74:$R$75,Produto!$R$78,Produto!$R$81,Produto!$R$84,Produto!$R$87,Produto!$R$90,Produto!$R$93,Produto!$R$96,Produto!$R$99,Produto!$R$102,Produto!$R$105)</c15:sqref>
                  </c15:fullRef>
                </c:ext>
              </c:extLst>
              <c:f>(Produto!$R$74:$R$75,Produto!$R$78,Produto!$R$81,Produto!$R$84,Produto!$R$87,Produto!$R$90,Produto!$R$93,Produto!$R$96,Produto!$R$99)</c:f>
              <c:numCache>
                <c:formatCode>General</c:formatCode>
                <c:ptCount val="10"/>
                <c:pt idx="0">
                  <c:v>-7.3</c:v>
                </c:pt>
                <c:pt idx="1">
                  <c:v>-8</c:v>
                </c:pt>
                <c:pt idx="2">
                  <c:v>-10.7</c:v>
                </c:pt>
                <c:pt idx="3">
                  <c:v>-10</c:v>
                </c:pt>
                <c:pt idx="5">
                  <c:v>-7.5</c:v>
                </c:pt>
                <c:pt idx="6">
                  <c:v>-14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E-341E-4AF7-93E2-55232E34B4A7}"/>
            </c:ext>
          </c:extLst>
        </c:ser>
        <c:ser>
          <c:idx val="16"/>
          <c:order val="16"/>
          <c:tx>
            <c:strRef>
              <c:f>Produto!$S$72:$S$73</c:f>
              <c:strCache>
                <c:ptCount val="2"/>
                <c:pt idx="0">
                  <c:v>LEITE SUNDAE</c:v>
                </c:pt>
                <c:pt idx="1">
                  <c:v>20</c:v>
                </c:pt>
              </c:strCache>
            </c:strRef>
          </c:tx>
          <c:spPr>
            <a:ln w="28575" cap="rnd">
              <a:solidFill>
                <a:schemeClr val="accent5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>
                  <a:lumMod val="80000"/>
                  <a:lumOff val="20000"/>
                </a:schemeClr>
              </a:solidFill>
              <a:ln w="9525">
                <a:solidFill>
                  <a:schemeClr val="accent5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(Produto!$S$74:$S$75,Produto!$S$78,Produto!$S$81,Produto!$S$84,Produto!$S$87,Produto!$S$90,Produto!$S$93,Produto!$S$96,Produto!$S$99,Produto!$S$102,Produto!$S$105)</c15:sqref>
                  </c15:fullRef>
                </c:ext>
              </c:extLst>
              <c:f>(Produto!$S$74:$S$75,Produto!$S$78,Produto!$S$81,Produto!$S$84,Produto!$S$87,Produto!$S$90,Produto!$S$93,Produto!$S$96,Produto!$S$99)</c:f>
              <c:numCache>
                <c:formatCode>General</c:formatCode>
                <c:ptCount val="10"/>
                <c:pt idx="0">
                  <c:v>111</c:v>
                </c:pt>
                <c:pt idx="1">
                  <c:v>90</c:v>
                </c:pt>
                <c:pt idx="2">
                  <c:v>67</c:v>
                </c:pt>
                <c:pt idx="3">
                  <c:v>95.01</c:v>
                </c:pt>
                <c:pt idx="4">
                  <c:v>80.099999999999994</c:v>
                </c:pt>
                <c:pt idx="5">
                  <c:v>101.2</c:v>
                </c:pt>
                <c:pt idx="6">
                  <c:v>158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F-341E-4AF7-93E2-55232E34B4A7}"/>
            </c:ext>
          </c:extLst>
        </c:ser>
        <c:ser>
          <c:idx val="17"/>
          <c:order val="17"/>
          <c:tx>
            <c:strRef>
              <c:f>Produto!$T$72:$T$73</c:f>
              <c:strCache>
                <c:ptCount val="2"/>
                <c:pt idx="0">
                  <c:v>LEITE SUNDAE</c:v>
                </c:pt>
                <c:pt idx="1">
                  <c:v>32</c:v>
                </c:pt>
              </c:strCache>
            </c:strRef>
          </c:tx>
          <c:spPr>
            <a:ln w="28575" cap="rnd">
              <a:solidFill>
                <a:schemeClr val="accent6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>
                  <a:lumMod val="80000"/>
                  <a:lumOff val="20000"/>
                </a:schemeClr>
              </a:solidFill>
              <a:ln w="9525">
                <a:solidFill>
                  <a:schemeClr val="accent6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(Produto!$B$74:$B$75,Produto!$B$78,Produto!$B$81,Produto!$B$84,Produto!$B$87,Produto!$B$90,Produto!$B$93,Produto!$B$96,Produto!$B$99,Produto!$B$102,Produto!$B$105)</c15:sqref>
                  </c15:fullRef>
                </c:ext>
              </c:extLst>
              <c:f>(Produto!$B$74:$B$75,Produto!$B$78,Produto!$B$81,Produto!$B$84,Produto!$B$87,Produto!$B$90,Produto!$B$93,Produto!$B$96,Produto!$B$99)</c:f>
              <c:strCache>
                <c:ptCount val="10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(Produto!$T$74:$T$75,Produto!$T$78,Produto!$T$81,Produto!$T$84,Produto!$T$87,Produto!$T$90,Produto!$T$93,Produto!$T$96,Produto!$T$99,Produto!$T$102,Produto!$T$105)</c15:sqref>
                  </c15:fullRef>
                </c:ext>
              </c:extLst>
              <c:f>(Produto!$T$74:$T$75,Produto!$T$78,Produto!$T$81,Produto!$T$84,Produto!$T$87,Produto!$T$90,Produto!$T$93,Produto!$T$96,Produto!$T$99)</c:f>
              <c:numCache>
                <c:formatCode>General</c:formatCode>
                <c:ptCount val="10"/>
                <c:pt idx="0">
                  <c:v>25</c:v>
                </c:pt>
                <c:pt idx="1">
                  <c:v>13</c:v>
                </c:pt>
                <c:pt idx="2">
                  <c:v>2.2000000000000002</c:v>
                </c:pt>
                <c:pt idx="3">
                  <c:v>-16</c:v>
                </c:pt>
                <c:pt idx="5">
                  <c:v>-37.9</c:v>
                </c:pt>
                <c:pt idx="6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10-341E-4AF7-93E2-55232E34B4A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87949560"/>
        <c:axId val="587946040"/>
      </c:lineChart>
      <c:catAx>
        <c:axId val="587949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7946040"/>
        <c:crosses val="autoZero"/>
        <c:auto val="1"/>
        <c:lblAlgn val="ctr"/>
        <c:lblOffset val="100"/>
        <c:noMultiLvlLbl val="0"/>
      </c:catAx>
      <c:valAx>
        <c:axId val="5879460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5879495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COMPARATIVO</a:t>
            </a:r>
            <a:r>
              <a:rPr lang="pt-PT" baseline="0"/>
              <a:t> ENTRE LOJAS</a:t>
            </a:r>
            <a:endParaRPr lang="pt-PT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0.22043853510465955"/>
          <c:y val="6.5893843936494209E-2"/>
          <c:w val="0.75144902398601521"/>
          <c:h val="0.77986946376120458"/>
        </c:manualLayout>
      </c:layout>
      <c:lineChart>
        <c:grouping val="standard"/>
        <c:varyColors val="0"/>
        <c:ser>
          <c:idx val="4"/>
          <c:order val="2"/>
          <c:tx>
            <c:strRef>
              <c:f>Produto!$V$112</c:f>
              <c:strCache>
                <c:ptCount val="1"/>
                <c:pt idx="0">
                  <c:v>DESVIO (20)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Produto!$V$113:$V$124</c15:sqref>
                  </c15:fullRef>
                </c:ext>
              </c:extLst>
              <c:f>Produto!$V$113:$V$115</c:f>
              <c:numCache>
                <c:formatCode>0.00%</c:formatCode>
                <c:ptCount val="3"/>
                <c:pt idx="0">
                  <c:v>0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AC88-4138-92DF-A6BA4D05EE81}"/>
            </c:ext>
          </c:extLst>
        </c:ser>
        <c:ser>
          <c:idx val="12"/>
          <c:order val="6"/>
          <c:tx>
            <c:strRef>
              <c:f>Produto!$Z$112</c:f>
              <c:strCache>
                <c:ptCount val="1"/>
                <c:pt idx="0">
                  <c:v>DESVIO (32)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1">
                  <a:lumMod val="80000"/>
                  <a:lumOff val="2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80000"/>
                  <a:lumOff val="20000"/>
                </a:schemeClr>
              </a:solidFill>
              <a:ln w="9525">
                <a:solidFill>
                  <a:schemeClr val="accent1">
                    <a:lumMod val="80000"/>
                    <a:lumOff val="20000"/>
                  </a:schemeClr>
                </a:solidFill>
              </a:ln>
              <a:effectLst/>
            </c:spPr>
          </c:marker>
          <c:cat>
            <c:strLit>
              <c:ptCount val="3"/>
              <c:pt idx="0">
                <c:v>1</c:v>
              </c:pt>
              <c:pt idx="1">
                <c:v>2</c:v>
              </c:pt>
              <c:pt idx="2">
                <c:v>3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Produto!$Z$113:$Z$124</c15:sqref>
                  </c15:fullRef>
                </c:ext>
              </c:extLst>
              <c:f>Produto!$Z$113:$Z$115</c:f>
              <c:numCache>
                <c:formatCode>0.00%</c:formatCode>
                <c:ptCount val="3"/>
                <c:pt idx="0">
                  <c:v>0</c:v>
                </c:pt>
                <c:pt idx="1">
                  <c:v>3.0999999999999999E-3</c:v>
                </c:pt>
                <c:pt idx="2">
                  <c:v>-6.0000000000000001E-3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C-AC88-4138-92DF-A6BA4D05EE8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667558527"/>
        <c:axId val="1667568095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Produto!$T$112</c15:sqref>
                        </c15:formulaRef>
                      </c:ext>
                    </c:extLst>
                    <c:strCache>
                      <c:ptCount val="1"/>
                      <c:pt idx="0">
                        <c:v>CUSTO INVENTÁRIO (20)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/>
                    </a:solidFill>
                    <a:ln w="9525">
                      <a:solidFill>
                        <a:schemeClr val="accent1"/>
                      </a:solidFill>
                    </a:ln>
                    <a:effectLst/>
                  </c:spPr>
                </c:marker>
                <c:val>
                  <c:numRef>
                    <c:extLst>
                      <c:ext uri="{02D57815-91ED-43cb-92C2-25804820EDAC}">
                        <c15:fullRef>
                          <c15:sqref>Produto!$T$113:$T$124</c15:sqref>
                        </c15:fullRef>
                        <c15:formulaRef>
                          <c15:sqref>Produto!$T$113:$T$115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AC88-4138-92DF-A6BA4D05EE81}"/>
                  </c:ext>
                </c:extLst>
              </c15:ser>
            </c15:filteredLineSeries>
            <c15:filteredLineSeries>
              <c15:ser>
                <c:idx val="2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Produto!$U$112</c15:sqref>
                        </c15:formulaRef>
                      </c:ext>
                    </c:extLst>
                    <c:strCache>
                      <c:ptCount val="1"/>
                      <c:pt idx="0">
                        <c:v>CUSTO TEÓRICO (20)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/>
                    </a:solidFill>
                    <a:ln w="9525">
                      <a:solidFill>
                        <a:schemeClr val="accent3"/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Produto!$U$113:$U$124</c15:sqref>
                        </c15:fullRef>
                        <c15:formulaRef>
                          <c15:sqref>Produto!$U$113:$U$115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AC88-4138-92DF-A6BA4D05EE81}"/>
                  </c:ext>
                </c:extLst>
              </c15:ser>
            </c15:filteredLineSeries>
            <c15:filteredLineSeries>
              <c15:ser>
                <c:idx val="6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Produto!$W$112</c15:sqref>
                        </c15:formulaRef>
                      </c:ext>
                    </c:extLst>
                    <c:strCache>
                      <c:ptCount val="1"/>
                      <c:pt idx="0">
                        <c:v>DESVIO RENDIMENTO (20)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60000"/>
                      </a:schemeClr>
                    </a:solidFill>
                    <a:ln w="9525">
                      <a:solidFill>
                        <a:schemeClr val="accent1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Produto!$W$113:$W$124</c15:sqref>
                        </c15:fullRef>
                        <c15:formulaRef>
                          <c15:sqref>Produto!$W$113:$W$115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AC88-4138-92DF-A6BA4D05EE81}"/>
                  </c:ext>
                </c:extLst>
              </c15:ser>
            </c15:filteredLineSeries>
            <c15:filteredLineSeries>
              <c15:ser>
                <c:idx val="8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Produto!$X$112</c15:sqref>
                        </c15:formulaRef>
                      </c:ext>
                    </c:extLst>
                    <c:strCache>
                      <c:ptCount val="1"/>
                      <c:pt idx="0">
                        <c:v>CUSTO INVENTÁRIO (32)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60000"/>
                      </a:schemeClr>
                    </a:solidFill>
                    <a:ln w="9525">
                      <a:solidFill>
                        <a:schemeClr val="accent3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Produto!$X$113:$X$124</c15:sqref>
                        </c15:fullRef>
                        <c15:formulaRef>
                          <c15:sqref>Produto!$X$113:$X$115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0.2671</c:v>
                      </c:pt>
                      <c:pt idx="2">
                        <c:v>0.27589999999999998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AC88-4138-92DF-A6BA4D05EE81}"/>
                  </c:ext>
                </c:extLst>
              </c15:ser>
            </c15:filteredLineSeries>
            <c15:filteredLineSeries>
              <c15:ser>
                <c:idx val="10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Produto!$Y$112</c15:sqref>
                        </c15:formulaRef>
                      </c:ext>
                    </c:extLst>
                    <c:strCache>
                      <c:ptCount val="1"/>
                      <c:pt idx="0">
                        <c:v>CUSTO TEÓRICO (32)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Produto!$Y$113:$Y$124</c15:sqref>
                        </c15:fullRef>
                        <c15:formulaRef>
                          <c15:sqref>Produto!$Y$113:$Y$115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0.26400000000000001</c:v>
                      </c:pt>
                      <c:pt idx="2">
                        <c:v>0.26989999999999997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AC88-4138-92DF-A6BA4D05EE81}"/>
                  </c:ext>
                </c:extLst>
              </c15:ser>
            </c15:filteredLineSeries>
            <c15:filteredLineSeries>
              <c15:ser>
                <c:idx val="14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Produto!$AA$112</c15:sqref>
                        </c15:formulaRef>
                      </c:ext>
                    </c:extLst>
                    <c:strCache>
                      <c:ptCount val="1"/>
                      <c:pt idx="0">
                        <c:v>DESVIO RENDIMENTO (32)</c:v>
                      </c:pt>
                    </c:strCache>
                  </c:strRef>
                </c:tx>
                <c:spPr>
                  <a:ln w="28575" cap="rnd">
                    <a:solidFill>
                      <a:schemeClr val="accent3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3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3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Produto!$AA$113:$AA$124</c15:sqref>
                        </c15:fullRef>
                        <c15:formulaRef>
                          <c15:sqref>Produto!$AA$113:$AA$115</c15:sqref>
                        </c15:formulaRef>
                      </c:ext>
                    </c:extLst>
                    <c:numCache>
                      <c:formatCode>0.00%</c:formatCode>
                      <c:ptCount val="3"/>
                      <c:pt idx="0">
                        <c:v>0</c:v>
                      </c:pt>
                      <c:pt idx="1">
                        <c:v>8.0000000000000004E-4</c:v>
                      </c:pt>
                      <c:pt idx="2">
                        <c:v>-2.8999999999999998E-3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AC88-4138-92DF-A6BA4D05EE81}"/>
                  </c:ext>
                </c:extLst>
              </c15:ser>
            </c15:filteredLineSeries>
          </c:ext>
        </c:extLst>
      </c:lineChart>
      <c:catAx>
        <c:axId val="1667558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67568095"/>
        <c:crosses val="autoZero"/>
        <c:auto val="1"/>
        <c:lblAlgn val="ctr"/>
        <c:lblOffset val="100"/>
        <c:noMultiLvlLbl val="0"/>
      </c:catAx>
      <c:valAx>
        <c:axId val="166756809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6675585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5.0997819869592093E-2"/>
          <c:y val="5.1686770033945464E-2"/>
          <c:w val="0.94228006236337425"/>
          <c:h val="0.7730816178240778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Manutenção!$E$3</c:f>
              <c:strCache>
                <c:ptCount val="1"/>
                <c:pt idx="0">
                  <c:v>JANEIRO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Manutenção!$D$4:$D$11</c15:sqref>
                  </c15:fullRef>
                </c:ext>
              </c:extLst>
              <c:f>(Manutenção!$D$4,Manutenção!$D$6:$D$8)</c:f>
              <c:strCache>
                <c:ptCount val="4"/>
                <c:pt idx="0">
                  <c:v>20- VENDAS</c:v>
                </c:pt>
                <c:pt idx="1">
                  <c:v>20- GASTOS GERAIS</c:v>
                </c:pt>
                <c:pt idx="2">
                  <c:v>20- OPS</c:v>
                </c:pt>
                <c:pt idx="3">
                  <c:v>20- MAN&amp;REP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Manutenção!$E$4:$E$11</c15:sqref>
                  </c15:fullRef>
                </c:ext>
              </c:extLst>
              <c:f>(Manutenção!$E$4,Manutenção!$E$6:$E$8)</c:f>
              <c:numCache>
                <c:formatCode>_("€"* #,##0.00_);_("€"* \(#,##0.00\);_("€"* "-"??_);_(@_)</c:formatCode>
                <c:ptCount val="4"/>
                <c:pt idx="0">
                  <c:v>288945</c:v>
                </c:pt>
                <c:pt idx="1">
                  <c:v>2584</c:v>
                </c:pt>
                <c:pt idx="2">
                  <c:v>2962</c:v>
                </c:pt>
                <c:pt idx="3">
                  <c:v>2648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E800-4B3D-81E8-16964D937DEE}"/>
            </c:ext>
          </c:extLst>
        </c:ser>
        <c:ser>
          <c:idx val="1"/>
          <c:order val="1"/>
          <c:tx>
            <c:strRef>
              <c:f>Manutenção!$F$3</c:f>
              <c:strCache>
                <c:ptCount val="1"/>
                <c:pt idx="0">
                  <c:v>FEVEREIRO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 xmlns:c15="http://schemas.microsoft.com/office/drawing/2012/chart"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extLst>
                <c:ext xmlns:c15="http://schemas.microsoft.com/office/drawing/2012/chart" uri="{02D57815-91ED-43cb-92C2-25804820EDAC}">
                  <c15:fullRef>
                    <c15:sqref>Manutenção!$D$4:$D$11</c15:sqref>
                  </c15:fullRef>
                </c:ext>
              </c:extLst>
              <c:f>(Manutenção!$D$4,Manutenção!$D$6:$D$8)</c:f>
              <c:strCache>
                <c:ptCount val="4"/>
                <c:pt idx="0">
                  <c:v>20- VENDAS</c:v>
                </c:pt>
                <c:pt idx="1">
                  <c:v>20- GASTOS GERAIS</c:v>
                </c:pt>
                <c:pt idx="2">
                  <c:v>20- OPS</c:v>
                </c:pt>
                <c:pt idx="3">
                  <c:v>20- MAN&amp;REP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Manutenção!$F$4:$F$11</c15:sqref>
                  </c15:fullRef>
                </c:ext>
              </c:extLst>
              <c:f>(Manutenção!$F$4,Manutenção!$F$6:$F$8)</c:f>
              <c:numCache>
                <c:formatCode>_("€"* #,##0.00_);_("€"* \(#,##0.00\);_("€"* "-"??_);_(@_)</c:formatCode>
                <c:ptCount val="4"/>
                <c:pt idx="0">
                  <c:v>254163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2-E800-4B3D-81E8-16964D937DEE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332998560"/>
        <c:axId val="333008128"/>
        <c:extLst/>
      </c:barChart>
      <c:lineChart>
        <c:grouping val="standard"/>
        <c:varyColors val="0"/>
        <c:ser>
          <c:idx val="2"/>
          <c:order val="2"/>
          <c:tx>
            <c:strRef>
              <c:f>Manutenção!$G$3</c:f>
              <c:strCache>
                <c:ptCount val="1"/>
                <c:pt idx="0">
                  <c:v>MARÇO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Manutenção!$D$4:$D$11</c15:sqref>
                  </c15:fullRef>
                </c:ext>
              </c:extLst>
              <c:f>(Manutenção!$D$4,Manutenção!$D$6:$D$8)</c:f>
              <c:strCache>
                <c:ptCount val="4"/>
                <c:pt idx="0">
                  <c:v>20- VENDAS</c:v>
                </c:pt>
                <c:pt idx="1">
                  <c:v>20- GASTOS GERAIS</c:v>
                </c:pt>
                <c:pt idx="2">
                  <c:v>20- OPS</c:v>
                </c:pt>
                <c:pt idx="3">
                  <c:v>20- MAN&amp;REP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Manutenção!$G$4:$G$11</c15:sqref>
                  </c15:fullRef>
                </c:ext>
              </c:extLst>
              <c:f>(Manutenção!$G$4,Manutenção!$G$6:$G$8)</c:f>
              <c:numCache>
                <c:formatCode>_("€"* #,##0.00_);_("€"* \(#,##0.00\);_("€"* "-"??_);_(@_)</c:formatCode>
                <c:ptCount val="4"/>
                <c:pt idx="0">
                  <c:v>280532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3-E800-4B3D-81E8-16964D937DEE}"/>
            </c:ext>
          </c:extLst>
        </c:ser>
        <c:ser>
          <c:idx val="3"/>
          <c:order val="3"/>
          <c:tx>
            <c:strRef>
              <c:f>Manutenção!$H$3</c:f>
              <c:strCache>
                <c:ptCount val="1"/>
                <c:pt idx="0">
                  <c:v>ABRIL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Manutenção!$D$4:$D$11</c15:sqref>
                  </c15:fullRef>
                </c:ext>
              </c:extLst>
              <c:f>(Manutenção!$D$4,Manutenção!$D$6:$D$8)</c:f>
              <c:strCache>
                <c:ptCount val="4"/>
                <c:pt idx="0">
                  <c:v>20- VENDAS</c:v>
                </c:pt>
                <c:pt idx="1">
                  <c:v>20- GASTOS GERAIS</c:v>
                </c:pt>
                <c:pt idx="2">
                  <c:v>20- OPS</c:v>
                </c:pt>
                <c:pt idx="3">
                  <c:v>20- MAN&amp;REP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Manutenção!$H$4:$H$11</c15:sqref>
                  </c15:fullRef>
                </c:ext>
              </c:extLst>
              <c:f>(Manutenção!$H$4,Manutenção!$H$6:$H$8)</c:f>
              <c:numCache>
                <c:formatCode>_("€"* #,##0.00_);_("€"* \(#,##0.00\);_("€"* "-"??_);_(@_)</c:formatCode>
                <c:ptCount val="4"/>
                <c:pt idx="0">
                  <c:v>247258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E800-4B3D-81E8-16964D937DEE}"/>
            </c:ext>
          </c:extLst>
        </c:ser>
        <c:ser>
          <c:idx val="4"/>
          <c:order val="4"/>
          <c:tx>
            <c:strRef>
              <c:f>Manutenção!$I$3</c:f>
              <c:strCache>
                <c:ptCount val="1"/>
                <c:pt idx="0">
                  <c:v>MAIO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Manutenção!$D$4:$D$11</c15:sqref>
                  </c15:fullRef>
                </c:ext>
              </c:extLst>
              <c:f>(Manutenção!$D$4,Manutenção!$D$6:$D$8)</c:f>
              <c:strCache>
                <c:ptCount val="4"/>
                <c:pt idx="0">
                  <c:v>20- VENDAS</c:v>
                </c:pt>
                <c:pt idx="1">
                  <c:v>20- GASTOS GERAIS</c:v>
                </c:pt>
                <c:pt idx="2">
                  <c:v>20- OPS</c:v>
                </c:pt>
                <c:pt idx="3">
                  <c:v>20- MAN&amp;REP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Manutenção!$I$4:$I$11</c15:sqref>
                  </c15:fullRef>
                </c:ext>
              </c:extLst>
              <c:f>(Manutenção!$I$4,Manutenção!$I$6:$I$8)</c:f>
              <c:numCache>
                <c:formatCode>_("€"* #,##0.00_);_("€"* \(#,##0.00\);_("€"* "-"??_);_(@_)</c:formatCode>
                <c:ptCount val="4"/>
                <c:pt idx="0">
                  <c:v>251597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4-E800-4B3D-81E8-16964D937DEE}"/>
            </c:ext>
          </c:extLst>
        </c:ser>
        <c:ser>
          <c:idx val="5"/>
          <c:order val="5"/>
          <c:tx>
            <c:strRef>
              <c:f>Manutenção!$J$3</c:f>
              <c:strCache>
                <c:ptCount val="1"/>
                <c:pt idx="0">
                  <c:v>JUNHO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Manutenção!$D$4:$D$11</c15:sqref>
                  </c15:fullRef>
                </c:ext>
              </c:extLst>
              <c:f>(Manutenção!$D$4,Manutenção!$D$6:$D$8)</c:f>
              <c:strCache>
                <c:ptCount val="4"/>
                <c:pt idx="0">
                  <c:v>20- VENDAS</c:v>
                </c:pt>
                <c:pt idx="1">
                  <c:v>20- GASTOS GERAIS</c:v>
                </c:pt>
                <c:pt idx="2">
                  <c:v>20- OPS</c:v>
                </c:pt>
                <c:pt idx="3">
                  <c:v>20- MAN&amp;REP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Manutenção!$J$4:$J$11</c15:sqref>
                  </c15:fullRef>
                </c:ext>
              </c:extLst>
              <c:f>(Manutenção!$J$4,Manutenção!$J$6:$J$8)</c:f>
              <c:numCache>
                <c:formatCode>_("€"* #,##0.00_);_("€"* \(#,##0.00\);_("€"* "-"??_);_(@_)</c:formatCode>
                <c:ptCount val="4"/>
                <c:pt idx="0">
                  <c:v>252397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E800-4B3D-81E8-16964D937DEE}"/>
            </c:ext>
          </c:extLst>
        </c:ser>
        <c:ser>
          <c:idx val="6"/>
          <c:order val="6"/>
          <c:tx>
            <c:strRef>
              <c:f>Manutenção!$K$3</c:f>
              <c:strCache>
                <c:ptCount val="1"/>
                <c:pt idx="0">
                  <c:v>JULHO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>
                  <a:lumMod val="60000"/>
                </a:schemeClr>
              </a:solidFill>
              <a:ln w="9525">
                <a:solidFill>
                  <a:schemeClr val="accent1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Manutenção!$D$4:$D$11</c15:sqref>
                  </c15:fullRef>
                </c:ext>
              </c:extLst>
              <c:f>(Manutenção!$D$4,Manutenção!$D$6:$D$8)</c:f>
              <c:strCache>
                <c:ptCount val="4"/>
                <c:pt idx="0">
                  <c:v>20- VENDAS</c:v>
                </c:pt>
                <c:pt idx="1">
                  <c:v>20- GASTOS GERAIS</c:v>
                </c:pt>
                <c:pt idx="2">
                  <c:v>20- OPS</c:v>
                </c:pt>
                <c:pt idx="3">
                  <c:v>20- MAN&amp;REP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Manutenção!$K$4:$K$11</c15:sqref>
                  </c15:fullRef>
                </c:ext>
              </c:extLst>
              <c:f>(Manutenção!$K$4,Manutenção!$K$6:$K$8)</c:f>
              <c:numCache>
                <c:formatCode>_("€"* #,##0.00_);_("€"* \(#,##0.00\);_("€"* "-"??_);_(@_)</c:formatCode>
                <c:ptCount val="4"/>
                <c:pt idx="0">
                  <c:v>268928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B5BA-46BC-997B-5BDC37BC336D}"/>
            </c:ext>
          </c:extLst>
        </c:ser>
        <c:ser>
          <c:idx val="7"/>
          <c:order val="7"/>
          <c:tx>
            <c:strRef>
              <c:f>Manutenção!$L$3</c:f>
              <c:strCache>
                <c:ptCount val="1"/>
                <c:pt idx="0">
                  <c:v>AGOSTO</c:v>
                </c:pt>
              </c:strCache>
            </c:strRef>
          </c:tx>
          <c:spPr>
            <a:ln w="28575" cap="rnd">
              <a:solidFill>
                <a:schemeClr val="accent2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>
                  <a:lumMod val="60000"/>
                </a:schemeClr>
              </a:solidFill>
              <a:ln w="9525">
                <a:solidFill>
                  <a:schemeClr val="accent2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Manutenção!$D$4:$D$11</c15:sqref>
                  </c15:fullRef>
                </c:ext>
              </c:extLst>
              <c:f>(Manutenção!$D$4,Manutenção!$D$6:$D$8)</c:f>
              <c:strCache>
                <c:ptCount val="4"/>
                <c:pt idx="0">
                  <c:v>20- VENDAS</c:v>
                </c:pt>
                <c:pt idx="1">
                  <c:v>20- GASTOS GERAIS</c:v>
                </c:pt>
                <c:pt idx="2">
                  <c:v>20- OPS</c:v>
                </c:pt>
                <c:pt idx="3">
                  <c:v>20- MAN&amp;REP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Manutenção!$L$4:$L$11</c15:sqref>
                  </c15:fullRef>
                </c:ext>
              </c:extLst>
              <c:f>(Manutenção!$L$4,Manutenção!$L$6:$L$8)</c:f>
              <c:numCache>
                <c:formatCode>_("€"* #,##0.00_);_("€"* \(#,##0.00\);_("€"* "-"??_);_(@_)</c:formatCode>
                <c:ptCount val="4"/>
                <c:pt idx="0">
                  <c:v>286413</c:v>
                </c:pt>
              </c:numCache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B5BA-46BC-997B-5BDC37BC336D}"/>
            </c:ext>
          </c:extLst>
        </c:ser>
        <c:ser>
          <c:idx val="8"/>
          <c:order val="8"/>
          <c:tx>
            <c:strRef>
              <c:f>Manutenção!$M$3</c:f>
              <c:strCache>
                <c:ptCount val="1"/>
                <c:pt idx="0">
                  <c:v>SETEMBRO</c:v>
                </c:pt>
              </c:strCache>
            </c:strRef>
          </c:tx>
          <c:spPr>
            <a:ln w="28575" cap="rnd">
              <a:solidFill>
                <a:schemeClr val="accent3">
                  <a:lumMod val="60000"/>
                </a:schemeClr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</a:schemeClr>
              </a:solidFill>
              <a:ln w="9525">
                <a:solidFill>
                  <a:schemeClr val="accent3">
                    <a:lumMod val="60000"/>
                  </a:schemeClr>
                </a:solidFill>
              </a:ln>
              <a:effectLst/>
            </c:spPr>
          </c:marker>
          <c:cat>
            <c:strRef>
              <c:extLst>
                <c:ext xmlns:c15="http://schemas.microsoft.com/office/drawing/2012/chart" uri="{02D57815-91ED-43cb-92C2-25804820EDAC}">
                  <c15:fullRef>
                    <c15:sqref>Manutenção!$D$4:$D$11</c15:sqref>
                  </c15:fullRef>
                </c:ext>
              </c:extLst>
              <c:f>(Manutenção!$D$4,Manutenção!$D$6:$D$8)</c:f>
              <c:strCache>
                <c:ptCount val="4"/>
                <c:pt idx="0">
                  <c:v>20- VENDAS</c:v>
                </c:pt>
                <c:pt idx="1">
                  <c:v>20- GASTOS GERAIS</c:v>
                </c:pt>
                <c:pt idx="2">
                  <c:v>20- OPS</c:v>
                </c:pt>
                <c:pt idx="3">
                  <c:v>20- MAN&amp;REP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Manutenção!$M$4:$M$11</c15:sqref>
                  </c15:fullRef>
                </c:ext>
              </c:extLst>
              <c:f>(Manutenção!$M$4,Manutenção!$M$6:$M$8)</c:f>
              <c:numCache>
                <c:formatCode>_("€"* #,##0.00_);_("€"* \(#,##0.00\);_("€"* "-"??_);_(@_)</c:formatCode>
                <c:ptCount val="4"/>
                <c:pt idx="0">
                  <c:v>246748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CD9-46A7-94F6-96167CD82C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84995536"/>
        <c:axId val="484992656"/>
        <c:extLst>
          <c:ext xmlns:c15="http://schemas.microsoft.com/office/drawing/2012/chart" uri="{02D57815-91ED-43cb-92C2-25804820EDAC}">
            <c15:filteredLineSeries>
              <c15:ser>
                <c:idx val="9"/>
                <c:order val="9"/>
                <c:tx>
                  <c:strRef>
                    <c:extLst>
                      <c:ext uri="{02D57815-91ED-43cb-92C2-25804820EDAC}">
                        <c15:formulaRef>
                          <c15:sqref>Manutenção!$N$3</c15:sqref>
                        </c15:formulaRef>
                      </c:ext>
                    </c:extLst>
                    <c:strCache>
                      <c:ptCount val="1"/>
                      <c:pt idx="0">
                        <c:v>OUTUBRO</c:v>
                      </c:pt>
                    </c:strCache>
                  </c:strRef>
                </c:tx>
                <c:spPr>
                  <a:ln w="28575" cap="rnd">
                    <a:solidFill>
                      <a:schemeClr val="accent4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4">
                        <a:lumMod val="60000"/>
                      </a:schemeClr>
                    </a:solidFill>
                    <a:ln w="9525">
                      <a:solidFill>
                        <a:schemeClr val="accent4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uri="{02D57815-91ED-43cb-92C2-25804820EDAC}">
                        <c15:fullRef>
                          <c15:sqref>Manutenção!$D$4:$D$11</c15:sqref>
                        </c15:fullRef>
                        <c15:formulaRef>
                          <c15:sqref>(Manutenção!$D$4,Manutenção!$D$6:$D$8)</c15:sqref>
                        </c15:formulaRef>
                      </c:ext>
                    </c:extLst>
                    <c:strCache>
                      <c:ptCount val="4"/>
                      <c:pt idx="0">
                        <c:v>20- VENDAS</c:v>
                      </c:pt>
                      <c:pt idx="1">
                        <c:v>20- GASTOS GERAIS</c:v>
                      </c:pt>
                      <c:pt idx="2">
                        <c:v>20- OPS</c:v>
                      </c:pt>
                      <c:pt idx="3">
                        <c:v>20- MAN&amp;REP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ullRef>
                          <c15:sqref>Manutenção!$N$4:$N$11</c15:sqref>
                        </c15:fullRef>
                        <c15:formulaRef>
                          <c15:sqref>(Manutenção!$N$4,Manutenção!$N$6:$N$8)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4"/>
                      <c:pt idx="0">
                        <c:v>236241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2-CCD9-46A7-94F6-96167CD82C2E}"/>
                  </c:ext>
                </c:extLst>
              </c15:ser>
            </c15:filteredLineSeries>
            <c15:filteredLine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Manutenção!$O$3</c15:sqref>
                        </c15:formulaRef>
                      </c:ext>
                    </c:extLst>
                    <c:strCache>
                      <c:ptCount val="1"/>
                      <c:pt idx="0">
                        <c:v>NOVEMBRO</c:v>
                      </c:pt>
                    </c:strCache>
                  </c:strRef>
                </c:tx>
                <c:spPr>
                  <a:ln w="28575" cap="rnd">
                    <a:solidFill>
                      <a:schemeClr val="accent5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5">
                        <a:lumMod val="60000"/>
                      </a:schemeClr>
                    </a:solidFill>
                    <a:ln w="9525">
                      <a:solidFill>
                        <a:schemeClr val="accent5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Manutenção!$D$4:$D$11</c15:sqref>
                        </c15:fullRef>
                        <c15:formulaRef>
                          <c15:sqref>(Manutenção!$D$4,Manutenção!$D$6:$D$8)</c15:sqref>
                        </c15:formulaRef>
                      </c:ext>
                    </c:extLst>
                    <c:strCache>
                      <c:ptCount val="4"/>
                      <c:pt idx="0">
                        <c:v>20- VENDAS</c:v>
                      </c:pt>
                      <c:pt idx="1">
                        <c:v>20- GASTOS GERAIS</c:v>
                      </c:pt>
                      <c:pt idx="2">
                        <c:v>20- OPS</c:v>
                      </c:pt>
                      <c:pt idx="3">
                        <c:v>20- MAN&amp;REP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Manutenção!$O$4:$O$11</c15:sqref>
                        </c15:fullRef>
                        <c15:formulaRef>
                          <c15:sqref>(Manutenção!$O$4,Manutenção!$O$6:$O$8)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4"/>
                      <c:pt idx="0">
                        <c:v>236196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CCD9-46A7-94F6-96167CD82C2E}"/>
                  </c:ext>
                </c:extLst>
              </c15:ser>
            </c15:filteredLineSeries>
            <c15:filteredLine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Manutenção!$P$3</c15:sqref>
                        </c15:formulaRef>
                      </c:ext>
                    </c:extLst>
                    <c:strCache>
                      <c:ptCount val="1"/>
                      <c:pt idx="0">
                        <c:v>DEZEMBRO</c:v>
                      </c:pt>
                    </c:strCache>
                  </c:strRef>
                </c:tx>
                <c:spPr>
                  <a:ln w="28575" cap="rnd">
                    <a:solidFill>
                      <a:schemeClr val="accent6">
                        <a:lumMod val="6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6">
                        <a:lumMod val="60000"/>
                      </a:schemeClr>
                    </a:solidFill>
                    <a:ln w="9525">
                      <a:solidFill>
                        <a:schemeClr val="accent6">
                          <a:lumMod val="6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Manutenção!$D$4:$D$11</c15:sqref>
                        </c15:fullRef>
                        <c15:formulaRef>
                          <c15:sqref>(Manutenção!$D$4,Manutenção!$D$6:$D$8)</c15:sqref>
                        </c15:formulaRef>
                      </c:ext>
                    </c:extLst>
                    <c:strCache>
                      <c:ptCount val="4"/>
                      <c:pt idx="0">
                        <c:v>20- VENDAS</c:v>
                      </c:pt>
                      <c:pt idx="1">
                        <c:v>20- GASTOS GERAIS</c:v>
                      </c:pt>
                      <c:pt idx="2">
                        <c:v>20- OPS</c:v>
                      </c:pt>
                      <c:pt idx="3">
                        <c:v>20- MAN&amp;REP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Manutenção!$P$4:$P$11</c15:sqref>
                        </c15:fullRef>
                        <c15:formulaRef>
                          <c15:sqref>(Manutenção!$P$4,Manutenção!$P$6:$P$8)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4"/>
                      <c:pt idx="0">
                        <c:v>82979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CCD9-46A7-94F6-96167CD82C2E}"/>
                  </c:ext>
                </c:extLst>
              </c15:ser>
            </c15:filteredLineSeries>
            <c15:filteredLine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Manutenção!$Q$3</c15:sqref>
                        </c15:formulaRef>
                      </c:ext>
                    </c:extLst>
                    <c:strCache>
                      <c:ptCount val="1"/>
                      <c:pt idx="0">
                        <c:v>ANO</c:v>
                      </c:pt>
                    </c:strCache>
                  </c:strRef>
                </c:tx>
                <c:spPr>
                  <a:ln w="28575" cap="rnd">
                    <a:solidFill>
                      <a:schemeClr val="accent1">
                        <a:lumMod val="80000"/>
                        <a:lumOff val="20000"/>
                      </a:schemeClr>
                    </a:solidFill>
                    <a:round/>
                  </a:ln>
                  <a:effectLst/>
                </c:spPr>
                <c:marker>
                  <c:symbol val="circle"/>
                  <c:size val="5"/>
                  <c:spPr>
                    <a:solidFill>
                      <a:schemeClr val="accent1">
                        <a:lumMod val="80000"/>
                        <a:lumOff val="20000"/>
                      </a:schemeClr>
                    </a:solidFill>
                    <a:ln w="9525">
                      <a:solidFill>
                        <a:schemeClr val="accent1">
                          <a:lumMod val="80000"/>
                          <a:lumOff val="20000"/>
                        </a:schemeClr>
                      </a:solidFill>
                    </a:ln>
                    <a:effectLst/>
                  </c:spPr>
                </c:marker>
                <c:cat>
                  <c:strRef>
                    <c:extLst>
                      <c:ext xmlns:c15="http://schemas.microsoft.com/office/drawing/2012/chart" uri="{02D57815-91ED-43cb-92C2-25804820EDAC}">
                        <c15:fullRef>
                          <c15:sqref>Manutenção!$D$4:$D$11</c15:sqref>
                        </c15:fullRef>
                        <c15:formulaRef>
                          <c15:sqref>(Manutenção!$D$4,Manutenção!$D$6:$D$8)</c15:sqref>
                        </c15:formulaRef>
                      </c:ext>
                    </c:extLst>
                    <c:strCache>
                      <c:ptCount val="4"/>
                      <c:pt idx="0">
                        <c:v>20- VENDAS</c:v>
                      </c:pt>
                      <c:pt idx="1">
                        <c:v>20- GASTOS GERAIS</c:v>
                      </c:pt>
                      <c:pt idx="2">
                        <c:v>20- OPS</c:v>
                      </c:pt>
                      <c:pt idx="3">
                        <c:v>20- MAN&amp;REP</c:v>
                      </c:pt>
                    </c:strCache>
                  </c: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Manutenção!$Q$4:$Q$11</c15:sqref>
                        </c15:fullRef>
                        <c15:formulaRef>
                          <c15:sqref>(Manutenção!$Q$4,Manutenção!$Q$6:$Q$8)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4"/>
                      <c:pt idx="0">
                        <c:v>2932397</c:v>
                      </c:pt>
                      <c:pt idx="1">
                        <c:v>2584</c:v>
                      </c:pt>
                      <c:pt idx="2">
                        <c:v>2962</c:v>
                      </c:pt>
                      <c:pt idx="3">
                        <c:v>2648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CCD9-46A7-94F6-96167CD82C2E}"/>
                  </c:ext>
                </c:extLst>
              </c15:ser>
            </c15:filteredLineSeries>
          </c:ext>
        </c:extLst>
      </c:lineChart>
      <c:catAx>
        <c:axId val="48499553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84992656"/>
        <c:crosses val="autoZero"/>
        <c:auto val="1"/>
        <c:lblAlgn val="ctr"/>
        <c:lblOffset val="100"/>
        <c:noMultiLvlLbl val="0"/>
      </c:catAx>
      <c:valAx>
        <c:axId val="4849926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84995536"/>
        <c:crosses val="autoZero"/>
        <c:crossBetween val="between"/>
      </c:valAx>
      <c:valAx>
        <c:axId val="333008128"/>
        <c:scaling>
          <c:orientation val="minMax"/>
        </c:scaling>
        <c:delete val="0"/>
        <c:axPos val="r"/>
        <c:numFmt formatCode="_(&quot;€&quot;* #,##0.00_);_(&quot;€&quot;* \(#,##0.00\);_(&quot;€&quot;* &quot;-&quot;??_);_(@_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32998560"/>
        <c:crosses val="max"/>
        <c:crossBetween val="between"/>
      </c:valAx>
      <c:catAx>
        <c:axId val="332998560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33300812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Amadora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dPt>
            <c:idx val="0"/>
            <c:bubble3D val="0"/>
            <c:spPr>
              <a:solidFill>
                <a:schemeClr val="accent6">
                  <a:lumMod val="20000"/>
                  <a:lumOff val="8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6-DFCD-4F54-8D91-05EE11DB0E7D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08-DFCD-4F54-8D91-05EE11DB0E7D}"/>
              </c:ext>
            </c:extLst>
          </c:dPt>
          <c:cat>
            <c:strRef>
              <c:f>Manutenção!$D$33:$D$34</c:f>
              <c:strCache>
                <c:ptCount val="2"/>
                <c:pt idx="0">
                  <c:v>20-ÁGUA</c:v>
                </c:pt>
                <c:pt idx="1">
                  <c:v>20-ELETRICIDADE</c:v>
                </c:pt>
              </c:strCache>
            </c:strRef>
          </c:cat>
          <c:val>
            <c:numRef>
              <c:f>Manutenção!$Q$33:$Q$34</c:f>
              <c:numCache>
                <c:formatCode>_("€"* #,##0.00_);_("€"* \(#,##0.00\);_("€"* "-"??_);_(@_)</c:formatCode>
                <c:ptCount val="2"/>
                <c:pt idx="0">
                  <c:v>118</c:v>
                </c:pt>
                <c:pt idx="1">
                  <c:v>1478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DFCD-4F54-8D91-05EE11DB0E7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/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Queluz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30"/>
      <c:rotY val="0"/>
      <c:depthPercent val="100"/>
      <c:rAngAx val="0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pie3DChart>
        <c:varyColors val="1"/>
        <c:ser>
          <c:idx val="0"/>
          <c:order val="0"/>
          <c:spPr>
            <a:solidFill>
              <a:schemeClr val="accent6">
                <a:lumMod val="50000"/>
              </a:schemeClr>
            </a:solidFill>
          </c:spPr>
          <c:dPt>
            <c:idx val="0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5-93AB-41F6-B68E-4CCE7E256FDA}"/>
              </c:ext>
            </c:extLst>
          </c:dPt>
          <c:dPt>
            <c:idx val="1"/>
            <c:bubble3D val="0"/>
            <c:spPr>
              <a:solidFill>
                <a:schemeClr val="accent6">
                  <a:lumMod val="50000"/>
                </a:schemeClr>
              </a:solidFill>
              <a:ln w="25400">
                <a:solidFill>
                  <a:schemeClr val="lt1"/>
                </a:solidFill>
              </a:ln>
              <a:effectLst/>
              <a:sp3d contourW="25400">
                <a:contourClr>
                  <a:schemeClr val="lt1"/>
                </a:contourClr>
              </a:sp3d>
            </c:spPr>
            <c:extLst xmlns:c15="http://schemas.microsoft.com/office/drawing/2012/chart">
              <c:ext xmlns:c16="http://schemas.microsoft.com/office/drawing/2014/chart" uri="{C3380CC4-5D6E-409C-BE32-E72D297353CC}">
                <c16:uniqueId val="{00000037-93AB-41F6-B68E-4CCE7E256FDA}"/>
              </c:ext>
            </c:extLst>
          </c:dPt>
          <c:cat>
            <c:strRef>
              <c:f>Manutenção!$D$35:$D$36</c:f>
              <c:strCache>
                <c:ptCount val="2"/>
                <c:pt idx="0">
                  <c:v>32-ÁGUA</c:v>
                </c:pt>
                <c:pt idx="1">
                  <c:v>32-ELETRICIDADE</c:v>
                </c:pt>
              </c:strCache>
            </c:strRef>
          </c:cat>
          <c:val>
            <c:numRef>
              <c:f>Manutenção!$Q$35:$Q$36</c:f>
              <c:numCache>
                <c:formatCode>_("€"* #,##0.00_);_("€"* \(#,##0.00\);_("€"* "-"??_);_(@_)</c:formatCode>
                <c:ptCount val="2"/>
                <c:pt idx="0">
                  <c:v>128</c:v>
                </c:pt>
                <c:pt idx="1">
                  <c:v>1135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9-912A-4ECE-8AB6-08199D32CA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1"/>
        </c:dLbls>
        <c:extLst/>
      </c:pie3DChart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 rtl="0"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v>#REF!</c:v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val>
            <c:numRef>
              <c:f>{}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AD51-4B45-A9A5-2FC7BD6045B3}"/>
            </c:ext>
          </c:extLst>
        </c:ser>
        <c:ser>
          <c:idx val="1"/>
          <c:order val="1"/>
          <c:tx>
            <c:v>#REF!</c:v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val>
            <c:numRef>
              <c:f>{}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1-AD51-4B45-A9A5-2FC7BD6045B3}"/>
            </c:ext>
          </c:extLst>
        </c:ser>
        <c:ser>
          <c:idx val="2"/>
          <c:order val="2"/>
          <c:tx>
            <c:v>#REF!</c:v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val>
            <c:numRef>
              <c:f>{}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2-AD51-4B45-A9A5-2FC7BD6045B3}"/>
            </c:ext>
          </c:extLst>
        </c:ser>
        <c:ser>
          <c:idx val="3"/>
          <c:order val="3"/>
          <c:tx>
            <c:v>#REF!</c:v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val>
            <c:numRef>
              <c:f>{}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3-AD51-4B45-A9A5-2FC7BD6045B3}"/>
            </c:ext>
          </c:extLst>
        </c:ser>
        <c:ser>
          <c:idx val="4"/>
          <c:order val="4"/>
          <c:tx>
            <c:v>#REF!</c:v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val>
            <c:numRef>
              <c:f>{}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4-AD51-4B45-A9A5-2FC7BD6045B3}"/>
            </c:ext>
          </c:extLst>
        </c:ser>
        <c:ser>
          <c:idx val="5"/>
          <c:order val="5"/>
          <c:tx>
            <c:v>#REF!</c:v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val>
            <c:numRef>
              <c:f>{}</c:f>
            </c:numRef>
          </c:val>
          <c:smooth val="0"/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}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5-AD51-4B45-A9A5-2FC7BD6045B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90556816"/>
        <c:axId val="490560976"/>
      </c:lineChart>
      <c:catAx>
        <c:axId val="49055681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90560976"/>
        <c:crosses val="autoZero"/>
        <c:auto val="1"/>
        <c:lblAlgn val="ctr"/>
        <c:lblOffset val="100"/>
        <c:noMultiLvlLbl val="0"/>
      </c:catAx>
      <c:valAx>
        <c:axId val="490560976"/>
        <c:scaling>
          <c:orientation val="minMax"/>
          <c:max val="1.05"/>
          <c:min val="0.60000000000000009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49055681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Manutenção!$D$33</c:f>
              <c:strCache>
                <c:ptCount val="1"/>
                <c:pt idx="0">
                  <c:v>20-ÁGUA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Manutenção!$E$32:$Q$32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ANO</c:v>
                </c:pt>
              </c:strCache>
            </c:strRef>
          </c:cat>
          <c:val>
            <c:numRef>
              <c:f>Manutenção!$E$33:$Q$33</c:f>
              <c:numCache>
                <c:formatCode>_("€"* #,##0.00_);_("€"* \(#,##0.00\);_("€"* "-"??_);_(@_)</c:formatCode>
                <c:ptCount val="13"/>
                <c:pt idx="0">
                  <c:v>118</c:v>
                </c:pt>
                <c:pt idx="12">
                  <c:v>118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5BD-495B-8A6D-C8CC7D8F9CC0}"/>
            </c:ext>
          </c:extLst>
        </c:ser>
        <c:ser>
          <c:idx val="1"/>
          <c:order val="1"/>
          <c:tx>
            <c:strRef>
              <c:f>Manutenção!$D$34</c:f>
              <c:strCache>
                <c:ptCount val="1"/>
                <c:pt idx="0">
                  <c:v>20-ELETRICIDADE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cat>
            <c:strRef>
              <c:f>Manutenção!$E$32:$Q$32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ANO</c:v>
                </c:pt>
              </c:strCache>
            </c:strRef>
          </c:cat>
          <c:val>
            <c:numRef>
              <c:f>Manutenção!$E$34:$Q$34</c:f>
              <c:numCache>
                <c:formatCode>_("€"* #,##0.00_);_("€"* \(#,##0.00\);_("€"* "-"??_);_(@_)</c:formatCode>
                <c:ptCount val="13"/>
                <c:pt idx="0">
                  <c:v>1478</c:v>
                </c:pt>
                <c:pt idx="12">
                  <c:v>1478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5BD-495B-8A6D-C8CC7D8F9CC0}"/>
            </c:ext>
          </c:extLst>
        </c:ser>
        <c:ser>
          <c:idx val="2"/>
          <c:order val="2"/>
          <c:tx>
            <c:strRef>
              <c:f>Manutenção!$D$35</c:f>
              <c:strCache>
                <c:ptCount val="1"/>
                <c:pt idx="0">
                  <c:v>32-ÁGUA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cat>
            <c:strRef>
              <c:f>Manutenção!$E$32:$Q$32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ANO</c:v>
                </c:pt>
              </c:strCache>
            </c:strRef>
          </c:cat>
          <c:val>
            <c:numRef>
              <c:f>Manutenção!$E$35:$Q$35</c:f>
              <c:numCache>
                <c:formatCode>_("€"* #,##0.00_);_("€"* \(#,##0.00\);_("€"* "-"??_);_(@_)</c:formatCode>
                <c:ptCount val="13"/>
                <c:pt idx="0">
                  <c:v>128</c:v>
                </c:pt>
                <c:pt idx="12">
                  <c:v>128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5BD-495B-8A6D-C8CC7D8F9CC0}"/>
            </c:ext>
          </c:extLst>
        </c:ser>
        <c:ser>
          <c:idx val="3"/>
          <c:order val="3"/>
          <c:tx>
            <c:strRef>
              <c:f>Manutenção!$D$36</c:f>
              <c:strCache>
                <c:ptCount val="1"/>
                <c:pt idx="0">
                  <c:v>32-ELETRICIDADE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cat>
            <c:strRef>
              <c:f>Manutenção!$E$32:$Q$32</c:f>
              <c:strCache>
                <c:ptCount val="13"/>
                <c:pt idx="0">
                  <c:v>JANEIRO</c:v>
                </c:pt>
                <c:pt idx="1">
                  <c:v>FEVEREIRO</c:v>
                </c:pt>
                <c:pt idx="2">
                  <c:v>MARÇO</c:v>
                </c:pt>
                <c:pt idx="3">
                  <c:v>ABRIL</c:v>
                </c:pt>
                <c:pt idx="4">
                  <c:v>MAIO</c:v>
                </c:pt>
                <c:pt idx="5">
                  <c:v>JUNHO</c:v>
                </c:pt>
                <c:pt idx="6">
                  <c:v>JULHO</c:v>
                </c:pt>
                <c:pt idx="7">
                  <c:v>AGOSTO</c:v>
                </c:pt>
                <c:pt idx="8">
                  <c:v>SETEMBRO</c:v>
                </c:pt>
                <c:pt idx="9">
                  <c:v>OUTUBRO</c:v>
                </c:pt>
                <c:pt idx="10">
                  <c:v>NOVEMBRO</c:v>
                </c:pt>
                <c:pt idx="11">
                  <c:v>DEZEMBRO</c:v>
                </c:pt>
                <c:pt idx="12">
                  <c:v>ANO</c:v>
                </c:pt>
              </c:strCache>
            </c:strRef>
          </c:cat>
          <c:val>
            <c:numRef>
              <c:f>Manutenção!$E$36:$Q$36</c:f>
              <c:numCache>
                <c:formatCode>_("€"* #,##0.00_);_("€"* \(#,##0.00\);_("€"* "-"??_);_(@_)</c:formatCode>
                <c:ptCount val="13"/>
                <c:pt idx="0">
                  <c:v>1135</c:v>
                </c:pt>
                <c:pt idx="12">
                  <c:v>1135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5BD-495B-8A6D-C8CC7D8F9C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0853391"/>
        <c:axId val="1820849647"/>
      </c:lineChart>
      <c:catAx>
        <c:axId val="18208533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20849647"/>
        <c:crosses val="autoZero"/>
        <c:auto val="1"/>
        <c:lblAlgn val="ctr"/>
        <c:lblOffset val="100"/>
        <c:noMultiLvlLbl val="0"/>
      </c:catAx>
      <c:valAx>
        <c:axId val="18208496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&quot;€&quot;* #,##0.00_);_(&quot;€&quot;* \(#,##0.00\);_(&quot;€&quot;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182085339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Manutenção!$C$57:$C$58</c:f>
              <c:strCache>
                <c:ptCount val="2"/>
                <c:pt idx="0">
                  <c:v>EASY WASH</c:v>
                </c:pt>
                <c:pt idx="1">
                  <c:v>∆ ABSOLUTA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multiLvlStrRef>
              <c:extLst>
                <c:ext xmlns:c15="http://schemas.microsoft.com/office/drawing/2012/chart" uri="{02D57815-91ED-43cb-92C2-25804820EDAC}">
                  <c15:fullRef>
                    <c15:sqref>Manutenção!$A$59:$B$82</c15:sqref>
                  </c15:fullRef>
                </c:ext>
              </c:extLst>
              <c:f>Manutenção!$A$59:$B$78</c:f>
              <c:multiLvlStrCache>
                <c:ptCount val="20"/>
                <c:lvl>
                  <c:pt idx="0">
                    <c:v>AMADORA</c:v>
                  </c:pt>
                  <c:pt idx="1">
                    <c:v>QUELUZ</c:v>
                  </c:pt>
                  <c:pt idx="2">
                    <c:v>AMADORA</c:v>
                  </c:pt>
                  <c:pt idx="3">
                    <c:v>QUELUZ</c:v>
                  </c:pt>
                  <c:pt idx="4">
                    <c:v>AMADORA</c:v>
                  </c:pt>
                  <c:pt idx="5">
                    <c:v>QUELUZ</c:v>
                  </c:pt>
                  <c:pt idx="6">
                    <c:v>AMADORA</c:v>
                  </c:pt>
                  <c:pt idx="7">
                    <c:v>QUELUZ</c:v>
                  </c:pt>
                  <c:pt idx="8">
                    <c:v>AMADORA</c:v>
                  </c:pt>
                  <c:pt idx="9">
                    <c:v>QUELUZ</c:v>
                  </c:pt>
                  <c:pt idx="10">
                    <c:v>AMADORA</c:v>
                  </c:pt>
                  <c:pt idx="11">
                    <c:v>QUELUZ</c:v>
                  </c:pt>
                  <c:pt idx="12">
                    <c:v>AMADORA</c:v>
                  </c:pt>
                  <c:pt idx="13">
                    <c:v>QUELUZ</c:v>
                  </c:pt>
                  <c:pt idx="14">
                    <c:v>AMADORA</c:v>
                  </c:pt>
                  <c:pt idx="15">
                    <c:v>QUELUZ</c:v>
                  </c:pt>
                  <c:pt idx="16">
                    <c:v>AMADORA</c:v>
                  </c:pt>
                  <c:pt idx="17">
                    <c:v>QUELUZ</c:v>
                  </c:pt>
                  <c:pt idx="18">
                    <c:v>AMADORA</c:v>
                  </c:pt>
                  <c:pt idx="19">
                    <c:v>QUELUZ</c:v>
                  </c:pt>
                </c:lvl>
                <c:lvl>
                  <c:pt idx="0">
                    <c:v>JANEIRO</c:v>
                  </c:pt>
                  <c:pt idx="2">
                    <c:v>FEVEREIRO</c:v>
                  </c:pt>
                  <c:pt idx="4">
                    <c:v>MARÇO</c:v>
                  </c:pt>
                  <c:pt idx="6">
                    <c:v>ABRIL</c:v>
                  </c:pt>
                  <c:pt idx="8">
                    <c:v>MAIO</c:v>
                  </c:pt>
                  <c:pt idx="10">
                    <c:v>JUNHO</c:v>
                  </c:pt>
                  <c:pt idx="12">
                    <c:v>JULHO</c:v>
                  </c:pt>
                  <c:pt idx="14">
                    <c:v>AGOSTO</c:v>
                  </c:pt>
                  <c:pt idx="16">
                    <c:v>SETEMBRO</c:v>
                  </c:pt>
                  <c:pt idx="18">
                    <c:v>OUTUBRO</c:v>
                  </c:pt>
                </c:lvl>
              </c:multiLvlStrCache>
            </c:multiLvl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Manutenção!$C$59:$C$82</c15:sqref>
                  </c15:fullRef>
                </c:ext>
              </c:extLst>
              <c:f>Manutenção!$C$59:$C$78</c:f>
              <c:numCache>
                <c:formatCode>#\ ##0_ ;\-#\ ##0\ </c:formatCode>
                <c:ptCount val="20"/>
                <c:pt idx="0" formatCode="General">
                  <c:v>-37</c:v>
                </c:pt>
                <c:pt idx="1">
                  <c:v>-57</c:v>
                </c:pt>
                <c:pt idx="2" formatCode="General">
                  <c:v>-51</c:v>
                </c:pt>
                <c:pt idx="3">
                  <c:v>-122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577D-4620-B481-3004785F2997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50"/>
        <c:axId val="2084322527"/>
        <c:axId val="2084308799"/>
        <c:extLst>
          <c:ext xmlns:c15="http://schemas.microsoft.com/office/drawing/2012/chart" uri="{02D57815-91ED-43cb-92C2-25804820EDAC}">
            <c15:filteredBar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Manutenção!$D$57:$D$58</c15:sqref>
                        </c15:formulaRef>
                      </c:ext>
                    </c:extLst>
                    <c:strCache>
                      <c:ptCount val="2"/>
                      <c:pt idx="0">
                        <c:v>EASY WASH</c:v>
                      </c:pt>
                      <c:pt idx="1">
                        <c:v>∆ RELATIVA</c:v>
                      </c:pt>
                    </c:strCache>
                  </c:strRef>
                </c:tx>
                <c:spPr>
                  <a:solidFill>
                    <a:schemeClr val="accent2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uri="{02D57815-91ED-43cb-92C2-25804820EDAC}">
                        <c15:fullRef>
                          <c15:sqref>Manutenção!$D$59:$D$82</c15:sqref>
                        </c15:fullRef>
                        <c15:formulaRef>
                          <c15:sqref>Manutenção!$D$59:$D$78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2" formatCode="0.0%">
                        <c:v>0.3783783783783784</c:v>
                      </c:pt>
                      <c:pt idx="3" formatCode="0.0%">
                        <c:v>1.1403508771929824</c:v>
                      </c:pt>
                      <c:pt idx="4" formatCode="0.0%">
                        <c:v>-1</c:v>
                      </c:pt>
                      <c:pt idx="5" formatCode="0.0%">
                        <c:v>-1</c:v>
                      </c:pt>
                      <c:pt idx="6" formatCode="0.0%">
                        <c:v>0</c:v>
                      </c:pt>
                      <c:pt idx="7" formatCode="0.0%">
                        <c:v>0</c:v>
                      </c:pt>
                      <c:pt idx="8" formatCode="0.0%">
                        <c:v>0</c:v>
                      </c:pt>
                      <c:pt idx="9" formatCode="0.0%">
                        <c:v>0</c:v>
                      </c:pt>
                      <c:pt idx="10" formatCode="0.0%">
                        <c:v>0</c:v>
                      </c:pt>
                      <c:pt idx="11" formatCode="0.0%">
                        <c:v>0</c:v>
                      </c:pt>
                      <c:pt idx="12" formatCode="0.0%">
                        <c:v>0</c:v>
                      </c:pt>
                      <c:pt idx="13" formatCode="0.0%">
                        <c:v>0</c:v>
                      </c:pt>
                      <c:pt idx="14" formatCode="0.0%">
                        <c:v>0</c:v>
                      </c:pt>
                      <c:pt idx="15" formatCode="0.0%">
                        <c:v>0</c:v>
                      </c:pt>
                      <c:pt idx="16" formatCode="0.0%">
                        <c:v>0</c:v>
                      </c:pt>
                      <c:pt idx="17" formatCode="0.0%">
                        <c:v>0</c:v>
                      </c:pt>
                      <c:pt idx="18" formatCode="0.0%">
                        <c:v>0</c:v>
                      </c:pt>
                      <c:pt idx="19" formatCode="0.0%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9-577D-4620-B481-3004785F2997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Manutenção!$E$57:$E$58</c15:sqref>
                        </c15:formulaRef>
                      </c:ext>
                    </c:extLst>
                    <c:strCache>
                      <c:ptCount val="2"/>
                      <c:pt idx="0">
                        <c:v>APC</c:v>
                      </c:pt>
                      <c:pt idx="1">
                        <c:v>∆ ABSOLUTA</c:v>
                      </c:pt>
                    </c:strCache>
                  </c:strRef>
                </c:tx>
                <c:spPr>
                  <a:solidFill>
                    <a:schemeClr val="accent3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Manutenção!$E$59:$E$82</c15:sqref>
                        </c15:fullRef>
                        <c15:formulaRef>
                          <c15:sqref>Manutenção!$E$59:$E$78</c15:sqref>
                        </c15:formulaRef>
                      </c:ext>
                    </c:extLst>
                    <c:numCache>
                      <c:formatCode>#\ ##0_ ;\-#\ ##0\ </c:formatCode>
                      <c:ptCount val="20"/>
                      <c:pt idx="0" formatCode="General">
                        <c:v>-1</c:v>
                      </c:pt>
                      <c:pt idx="1">
                        <c:v>-1</c:v>
                      </c:pt>
                      <c:pt idx="2" formatCode="General">
                        <c:v>-1</c:v>
                      </c:pt>
                      <c:pt idx="3" formatCode="0">
                        <c:v>-1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577D-4620-B481-3004785F2997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Manutenção!$F$57:$F$58</c15:sqref>
                        </c15:formulaRef>
                      </c:ext>
                    </c:extLst>
                    <c:strCache>
                      <c:ptCount val="2"/>
                      <c:pt idx="0">
                        <c:v>APC</c:v>
                      </c:pt>
                      <c:pt idx="1">
                        <c:v>∆ RELATIVA</c:v>
                      </c:pt>
                    </c:strCache>
                  </c:strRef>
                </c:tx>
                <c:spPr>
                  <a:solidFill>
                    <a:schemeClr val="accent4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Manutenção!$F$59:$F$82</c15:sqref>
                        </c15:fullRef>
                        <c15:formulaRef>
                          <c15:sqref>Manutenção!$F$59:$F$78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2" formatCode="0.0%">
                        <c:v>0</c:v>
                      </c:pt>
                      <c:pt idx="3" formatCode="0.0%">
                        <c:v>0</c:v>
                      </c:pt>
                      <c:pt idx="4" formatCode="0.0%">
                        <c:v>-1</c:v>
                      </c:pt>
                      <c:pt idx="5" formatCode="0.0%">
                        <c:v>-1</c:v>
                      </c:pt>
                      <c:pt idx="6" formatCode="0.0%">
                        <c:v>0</c:v>
                      </c:pt>
                      <c:pt idx="7" formatCode="0.0%">
                        <c:v>0</c:v>
                      </c:pt>
                      <c:pt idx="8" formatCode="0.0%">
                        <c:v>0</c:v>
                      </c:pt>
                      <c:pt idx="9" formatCode="0.0%">
                        <c:v>0</c:v>
                      </c:pt>
                      <c:pt idx="10" formatCode="0.0%">
                        <c:v>0</c:v>
                      </c:pt>
                      <c:pt idx="11" formatCode="0.0%">
                        <c:v>0</c:v>
                      </c:pt>
                      <c:pt idx="12" formatCode="0.0%">
                        <c:v>0</c:v>
                      </c:pt>
                      <c:pt idx="13" formatCode="0.0%">
                        <c:v>0</c:v>
                      </c:pt>
                      <c:pt idx="14" formatCode="0.0%">
                        <c:v>0</c:v>
                      </c:pt>
                      <c:pt idx="15" formatCode="0.0%">
                        <c:v>0</c:v>
                      </c:pt>
                      <c:pt idx="16" formatCode="0.0%">
                        <c:v>0</c:v>
                      </c:pt>
                      <c:pt idx="17" formatCode="0.0%">
                        <c:v>0</c:v>
                      </c:pt>
                      <c:pt idx="18" formatCode="0.0%">
                        <c:v>0</c:v>
                      </c:pt>
                      <c:pt idx="19" formatCode="0.0%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577D-4620-B481-3004785F2997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Manutenção!$G$57:$G$58</c15:sqref>
                        </c15:formulaRef>
                      </c:ext>
                    </c:extLst>
                    <c:strCache>
                      <c:ptCount val="2"/>
                      <c:pt idx="0">
                        <c:v>LIQUÍDO WC</c:v>
                      </c:pt>
                      <c:pt idx="1">
                        <c:v>∆ ABSOLUTA</c:v>
                      </c:pt>
                    </c:strCache>
                  </c:strRef>
                </c:tx>
                <c:spPr>
                  <a:solidFill>
                    <a:schemeClr val="accent5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Manutenção!$G$59:$G$82</c15:sqref>
                        </c15:fullRef>
                        <c15:formulaRef>
                          <c15:sqref>Manutenção!$G$59:$G$78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6</c:v>
                      </c:pt>
                      <c:pt idx="1">
                        <c:v>0</c:v>
                      </c:pt>
                      <c:pt idx="2">
                        <c:v>-1</c:v>
                      </c:pt>
                      <c:pt idx="3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577D-4620-B481-3004785F2997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Manutenção!$H$57:$H$58</c15:sqref>
                        </c15:formulaRef>
                      </c:ext>
                    </c:extLst>
                    <c:strCache>
                      <c:ptCount val="2"/>
                      <c:pt idx="0">
                        <c:v>LIQUÍDO WC</c:v>
                      </c:pt>
                      <c:pt idx="1">
                        <c:v>∆ RELATIVA</c:v>
                      </c:pt>
                    </c:strCache>
                  </c:strRef>
                </c:tx>
                <c:spPr>
                  <a:solidFill>
                    <a:schemeClr val="accent6"/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Manutenção!$H$59:$H$82</c15:sqref>
                        </c15:fullRef>
                        <c15:formulaRef>
                          <c15:sqref>Manutenção!$H$59:$H$78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2" formatCode="0.0%">
                        <c:v>-1.1666666666666667</c:v>
                      </c:pt>
                      <c:pt idx="3" formatCode="0.0%">
                        <c:v>0</c:v>
                      </c:pt>
                      <c:pt idx="4" formatCode="0.0%">
                        <c:v>-1</c:v>
                      </c:pt>
                      <c:pt idx="5" formatCode="0.0%">
                        <c:v>-1</c:v>
                      </c:pt>
                      <c:pt idx="6" formatCode="0.0%">
                        <c:v>0</c:v>
                      </c:pt>
                      <c:pt idx="7" formatCode="0.0%">
                        <c:v>0</c:v>
                      </c:pt>
                      <c:pt idx="8" formatCode="0.0%">
                        <c:v>0</c:v>
                      </c:pt>
                      <c:pt idx="9" formatCode="0.0%">
                        <c:v>0</c:v>
                      </c:pt>
                      <c:pt idx="10" formatCode="0.0%">
                        <c:v>0</c:v>
                      </c:pt>
                      <c:pt idx="11" formatCode="0.0%">
                        <c:v>0</c:v>
                      </c:pt>
                      <c:pt idx="12" formatCode="0.0%">
                        <c:v>0</c:v>
                      </c:pt>
                      <c:pt idx="13" formatCode="0.0%">
                        <c:v>0</c:v>
                      </c:pt>
                      <c:pt idx="14" formatCode="0.0%">
                        <c:v>0</c:v>
                      </c:pt>
                      <c:pt idx="15" formatCode="0.0%">
                        <c:v>0</c:v>
                      </c:pt>
                      <c:pt idx="16" formatCode="0.0%">
                        <c:v>0</c:v>
                      </c:pt>
                      <c:pt idx="17" formatCode="0.0%">
                        <c:v>0</c:v>
                      </c:pt>
                      <c:pt idx="18" formatCode="0.0%">
                        <c:v>0</c:v>
                      </c:pt>
                      <c:pt idx="19" formatCode="0.0%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577D-4620-B481-3004785F2997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Manutenção!$I$57:$I$58</c15:sqref>
                        </c15:formulaRef>
                      </c:ext>
                    </c:extLst>
                    <c:strCache>
                      <c:ptCount val="2"/>
                      <c:pt idx="0">
                        <c:v>GRILL CLEANER</c:v>
                      </c:pt>
                      <c:pt idx="1">
                        <c:v>∆ ABSOLUTA</c:v>
                      </c:pt>
                    </c:strCache>
                  </c:strRef>
                </c:tx>
                <c:spPr>
                  <a:solidFill>
                    <a:schemeClr val="accent1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Manutenção!$I$59:$I$82</c15:sqref>
                        </c15:fullRef>
                        <c15:formulaRef>
                          <c15:sqref>Manutenção!$I$59:$I$78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-35</c:v>
                      </c:pt>
                      <c:pt idx="1">
                        <c:v>-24</c:v>
                      </c:pt>
                      <c:pt idx="2">
                        <c:v>-45</c:v>
                      </c:pt>
                      <c:pt idx="3">
                        <c:v>5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77D-4620-B481-3004785F2997}"/>
                  </c:ext>
                </c:extLst>
              </c15:ser>
            </c15:filteredBarSeries>
            <c15:filteredBarSeries>
              <c15:ser>
                <c:idx val="7"/>
                <c:order val="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Manutenção!$J$57:$J$58</c15:sqref>
                        </c15:formulaRef>
                      </c:ext>
                    </c:extLst>
                    <c:strCache>
                      <c:ptCount val="2"/>
                      <c:pt idx="0">
                        <c:v>GRILL CLEANER</c:v>
                      </c:pt>
                      <c:pt idx="1">
                        <c:v>∆ RELATIVA</c:v>
                      </c:pt>
                    </c:strCache>
                  </c:strRef>
                </c:tx>
                <c:spPr>
                  <a:solidFill>
                    <a:schemeClr val="accent2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Manutenção!$J$59:$J$82</c15:sqref>
                        </c15:fullRef>
                        <c15:formulaRef>
                          <c15:sqref>Manutenção!$J$59:$J$78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2" formatCode="0.0%">
                        <c:v>0.2857142857142857</c:v>
                      </c:pt>
                      <c:pt idx="3" formatCode="0.0%">
                        <c:v>-1.2083333333333333</c:v>
                      </c:pt>
                      <c:pt idx="4" formatCode="0.0%">
                        <c:v>-1</c:v>
                      </c:pt>
                      <c:pt idx="5" formatCode="0.0%">
                        <c:v>-1</c:v>
                      </c:pt>
                      <c:pt idx="6" formatCode="0.0%">
                        <c:v>0</c:v>
                      </c:pt>
                      <c:pt idx="7" formatCode="0.0%">
                        <c:v>0</c:v>
                      </c:pt>
                      <c:pt idx="8" formatCode="0.0%">
                        <c:v>0</c:v>
                      </c:pt>
                      <c:pt idx="9" formatCode="0.0%">
                        <c:v>0</c:v>
                      </c:pt>
                      <c:pt idx="10" formatCode="0.0%">
                        <c:v>0</c:v>
                      </c:pt>
                      <c:pt idx="11" formatCode="0.0%">
                        <c:v>0</c:v>
                      </c:pt>
                      <c:pt idx="12" formatCode="0.0%">
                        <c:v>0</c:v>
                      </c:pt>
                      <c:pt idx="13" formatCode="0.0%">
                        <c:v>0</c:v>
                      </c:pt>
                      <c:pt idx="14" formatCode="0.0%">
                        <c:v>0</c:v>
                      </c:pt>
                      <c:pt idx="15" formatCode="0.0%">
                        <c:v>0</c:v>
                      </c:pt>
                      <c:pt idx="16" formatCode="0.0%">
                        <c:v>0</c:v>
                      </c:pt>
                      <c:pt idx="17" formatCode="0.0%">
                        <c:v>0</c:v>
                      </c:pt>
                      <c:pt idx="18" formatCode="0.0%">
                        <c:v>0</c:v>
                      </c:pt>
                      <c:pt idx="19" formatCode="0.0%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577D-4620-B481-3004785F2997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Manutenção!$K$57:$K$58</c15:sqref>
                        </c15:formulaRef>
                      </c:ext>
                    </c:extLst>
                    <c:strCache>
                      <c:ptCount val="2"/>
                      <c:pt idx="0">
                        <c:v>MASCARAS</c:v>
                      </c:pt>
                      <c:pt idx="1">
                        <c:v>∆ ABSOLUTA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Manutenção!$K$59:$K$82</c15:sqref>
                        </c15:fullRef>
                        <c15:formulaRef>
                          <c15:sqref>Manutenção!$K$59:$K$78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-3</c:v>
                      </c:pt>
                      <c:pt idx="1">
                        <c:v>-1</c:v>
                      </c:pt>
                      <c:pt idx="2">
                        <c:v>-3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577D-4620-B481-3004785F2997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Manutenção!$L$57:$L$58</c15:sqref>
                        </c15:formulaRef>
                      </c:ext>
                    </c:extLst>
                    <c:strCache>
                      <c:ptCount val="2"/>
                      <c:pt idx="0">
                        <c:v>MASCARAS</c:v>
                      </c:pt>
                      <c:pt idx="1">
                        <c:v>∆ RELATIVA</c:v>
                      </c:pt>
                    </c:strCache>
                  </c:strRef>
                </c:tx>
                <c:spPr>
                  <a:solidFill>
                    <a:schemeClr val="accent4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Manutenção!$L$59:$L$82</c15:sqref>
                        </c15:fullRef>
                        <c15:formulaRef>
                          <c15:sqref>Manutenção!$L$59:$L$78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2" formatCode="0.0%">
                        <c:v>0</c:v>
                      </c:pt>
                      <c:pt idx="3" formatCode="0.0%">
                        <c:v>-1</c:v>
                      </c:pt>
                      <c:pt idx="4" formatCode="0.0%">
                        <c:v>-1</c:v>
                      </c:pt>
                      <c:pt idx="5" formatCode="0.0%">
                        <c:v>0</c:v>
                      </c:pt>
                      <c:pt idx="6" formatCode="0.0%">
                        <c:v>0</c:v>
                      </c:pt>
                      <c:pt idx="7" formatCode="0.0%">
                        <c:v>0</c:v>
                      </c:pt>
                      <c:pt idx="8" formatCode="0.0%">
                        <c:v>0</c:v>
                      </c:pt>
                      <c:pt idx="9" formatCode="0.0%">
                        <c:v>0</c:v>
                      </c:pt>
                      <c:pt idx="10" formatCode="0.0%">
                        <c:v>0</c:v>
                      </c:pt>
                      <c:pt idx="11" formatCode="0.0%">
                        <c:v>0</c:v>
                      </c:pt>
                      <c:pt idx="12" formatCode="0.0%">
                        <c:v>0</c:v>
                      </c:pt>
                      <c:pt idx="13" formatCode="0.0%">
                        <c:v>0</c:v>
                      </c:pt>
                      <c:pt idx="14" formatCode="0.0%">
                        <c:v>0</c:v>
                      </c:pt>
                      <c:pt idx="15" formatCode="0.0%">
                        <c:v>0</c:v>
                      </c:pt>
                      <c:pt idx="16" formatCode="0.0%">
                        <c:v>0</c:v>
                      </c:pt>
                      <c:pt idx="17" formatCode="0.0%">
                        <c:v>0</c:v>
                      </c:pt>
                      <c:pt idx="18" formatCode="0.0%">
                        <c:v>0</c:v>
                      </c:pt>
                      <c:pt idx="19" formatCode="0.0%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D-577D-4620-B481-3004785F2997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Manutenção!$M$57:$M$58</c15:sqref>
                        </c15:formulaRef>
                      </c:ext>
                    </c:extLst>
                    <c:strCache>
                      <c:ptCount val="2"/>
                      <c:pt idx="0">
                        <c:v>GEL DA MÃOS</c:v>
                      </c:pt>
                      <c:pt idx="1">
                        <c:v>∆ ABSOLUTA</c:v>
                      </c:pt>
                    </c:strCache>
                  </c:strRef>
                </c:tx>
                <c:spPr>
                  <a:solidFill>
                    <a:schemeClr val="accent5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Manutenção!$M$59:$M$82</c15:sqref>
                        </c15:fullRef>
                        <c15:formulaRef>
                          <c15:sqref>Manutenção!$M$59:$M$78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-3</c:v>
                      </c:pt>
                      <c:pt idx="1">
                        <c:v>-1</c:v>
                      </c:pt>
                      <c:pt idx="2">
                        <c:v>-3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577D-4620-B481-3004785F2997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Manutenção!$N$57:$N$58</c15:sqref>
                        </c15:formulaRef>
                      </c:ext>
                    </c:extLst>
                    <c:strCache>
                      <c:ptCount val="2"/>
                      <c:pt idx="0">
                        <c:v>GEL DA MÃOS</c:v>
                      </c:pt>
                      <c:pt idx="1">
                        <c:v>∆ RELATIVA</c:v>
                      </c:pt>
                    </c:strCache>
                  </c:strRef>
                </c:tx>
                <c:spPr>
                  <a:solidFill>
                    <a:schemeClr val="accent6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Manutenção!$N$59:$N$82</c15:sqref>
                        </c15:fullRef>
                        <c15:formulaRef>
                          <c15:sqref>Manutenção!$N$59:$N$78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2" formatCode="0.0%">
                        <c:v>0</c:v>
                      </c:pt>
                      <c:pt idx="3" formatCode="0.0%">
                        <c:v>-1</c:v>
                      </c:pt>
                      <c:pt idx="4" formatCode="0.0%">
                        <c:v>-1</c:v>
                      </c:pt>
                      <c:pt idx="5" formatCode="0.0%">
                        <c:v>0</c:v>
                      </c:pt>
                      <c:pt idx="6" formatCode="0.0%">
                        <c:v>0</c:v>
                      </c:pt>
                      <c:pt idx="7" formatCode="0.0%">
                        <c:v>0</c:v>
                      </c:pt>
                      <c:pt idx="8" formatCode="0.0%">
                        <c:v>0</c:v>
                      </c:pt>
                      <c:pt idx="9" formatCode="0.0%">
                        <c:v>0</c:v>
                      </c:pt>
                      <c:pt idx="10" formatCode="0.0%">
                        <c:v>0</c:v>
                      </c:pt>
                      <c:pt idx="11" formatCode="0.0%">
                        <c:v>0</c:v>
                      </c:pt>
                      <c:pt idx="12" formatCode="0.0%">
                        <c:v>0</c:v>
                      </c:pt>
                      <c:pt idx="13" formatCode="0.0%">
                        <c:v>0</c:v>
                      </c:pt>
                      <c:pt idx="14" formatCode="0.0%">
                        <c:v>0</c:v>
                      </c:pt>
                      <c:pt idx="15" formatCode="0.0%">
                        <c:v>0</c:v>
                      </c:pt>
                      <c:pt idx="16" formatCode="0.0%">
                        <c:v>0</c:v>
                      </c:pt>
                      <c:pt idx="17" formatCode="0.0%">
                        <c:v>0</c:v>
                      </c:pt>
                      <c:pt idx="18" formatCode="0.0%">
                        <c:v>0</c:v>
                      </c:pt>
                      <c:pt idx="19" formatCode="0.0%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E-577D-4620-B481-3004785F2997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Manutenção!$O$57:$O$58</c15:sqref>
                        </c15:formulaRef>
                      </c:ext>
                    </c:extLst>
                    <c:strCache>
                      <c:ptCount val="2"/>
                      <c:pt idx="0">
                        <c:v>SACOS DO LIXO</c:v>
                      </c:pt>
                      <c:pt idx="1">
                        <c:v>∆ ABSOLUTA</c:v>
                      </c:pt>
                    </c:strCache>
                  </c:strRef>
                </c:tx>
                <c:spPr>
                  <a:solidFill>
                    <a:schemeClr val="accent1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Manutenção!$O$59:$O$82</c15:sqref>
                        </c15:fullRef>
                        <c15:formulaRef>
                          <c15:sqref>Manutenção!$O$59:$O$78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-13</c:v>
                      </c:pt>
                      <c:pt idx="1">
                        <c:v>-351</c:v>
                      </c:pt>
                      <c:pt idx="2">
                        <c:v>-260</c:v>
                      </c:pt>
                      <c:pt idx="3">
                        <c:v>106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577D-4620-B481-3004785F2997}"/>
                  </c:ext>
                </c:extLst>
              </c15:ser>
            </c15:filteredBarSeries>
            <c15:filteredBarSeries>
              <c15:ser>
                <c:idx val="13"/>
                <c:order val="1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Manutenção!$P$57:$P$58</c15:sqref>
                        </c15:formulaRef>
                      </c:ext>
                    </c:extLst>
                    <c:strCache>
                      <c:ptCount val="2"/>
                      <c:pt idx="0">
                        <c:v>SACOS DO LIXO</c:v>
                      </c:pt>
                      <c:pt idx="1">
                        <c:v>∆ RELATIVA</c:v>
                      </c:pt>
                    </c:strCache>
                  </c:strRef>
                </c:tx>
                <c:spPr>
                  <a:solidFill>
                    <a:schemeClr val="accent2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Manutenção!$P$59:$P$82</c15:sqref>
                        </c15:fullRef>
                        <c15:formulaRef>
                          <c15:sqref>Manutenção!$P$59:$P$78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2" formatCode="0.0%">
                        <c:v>19</c:v>
                      </c:pt>
                      <c:pt idx="3" formatCode="0.0%">
                        <c:v>-1.3019943019943019</c:v>
                      </c:pt>
                      <c:pt idx="4" formatCode="0.0%">
                        <c:v>-1</c:v>
                      </c:pt>
                      <c:pt idx="5" formatCode="0.0%">
                        <c:v>-1</c:v>
                      </c:pt>
                      <c:pt idx="6" formatCode="0.0%">
                        <c:v>0</c:v>
                      </c:pt>
                      <c:pt idx="7" formatCode="0.0%">
                        <c:v>0</c:v>
                      </c:pt>
                      <c:pt idx="8" formatCode="0.0%">
                        <c:v>0</c:v>
                      </c:pt>
                      <c:pt idx="9" formatCode="0.0%">
                        <c:v>0</c:v>
                      </c:pt>
                      <c:pt idx="10" formatCode="0.0%">
                        <c:v>0</c:v>
                      </c:pt>
                      <c:pt idx="11" formatCode="0.0%">
                        <c:v>0</c:v>
                      </c:pt>
                      <c:pt idx="12" formatCode="0.0%">
                        <c:v>0</c:v>
                      </c:pt>
                      <c:pt idx="13" formatCode="0.0%">
                        <c:v>0</c:v>
                      </c:pt>
                      <c:pt idx="14" formatCode="0.0%">
                        <c:v>0</c:v>
                      </c:pt>
                      <c:pt idx="15" formatCode="0.0%">
                        <c:v>0</c:v>
                      </c:pt>
                      <c:pt idx="16" formatCode="0.0%">
                        <c:v>0</c:v>
                      </c:pt>
                      <c:pt idx="17" formatCode="0.0%">
                        <c:v>0</c:v>
                      </c:pt>
                      <c:pt idx="18" formatCode="0.0%">
                        <c:v>0</c:v>
                      </c:pt>
                      <c:pt idx="19" formatCode="0.0%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F-577D-4620-B481-3004785F2997}"/>
                  </c:ext>
                </c:extLst>
              </c15:ser>
            </c15:filteredBarSeries>
            <c15:filteredBarSeries>
              <c15:ser>
                <c:idx val="14"/>
                <c:order val="1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Manutenção!$Q$57:$Q$58</c15:sqref>
                        </c15:formulaRef>
                      </c:ext>
                    </c:extLst>
                    <c:strCache>
                      <c:ptCount val="2"/>
                      <c:pt idx="0">
                        <c:v>ESFREGÃO </c:v>
                      </c:pt>
                      <c:pt idx="1">
                        <c:v>∆ ABSOLUTA</c:v>
                      </c:pt>
                    </c:strCache>
                  </c:strRef>
                </c:tx>
                <c:spPr>
                  <a:solidFill>
                    <a:schemeClr val="accent3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Manutenção!$Q$59:$Q$82</c15:sqref>
                        </c15:fullRef>
                        <c15:formulaRef>
                          <c15:sqref>Manutenção!$Q$59:$Q$78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-4</c:v>
                      </c:pt>
                      <c:pt idx="1">
                        <c:v>-5</c:v>
                      </c:pt>
                      <c:pt idx="2">
                        <c:v>-7</c:v>
                      </c:pt>
                      <c:pt idx="3">
                        <c:v>1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7-577D-4620-B481-3004785F2997}"/>
                  </c:ext>
                </c:extLst>
              </c15:ser>
            </c15:filteredBarSeries>
            <c15:filteredBarSeries>
              <c15:ser>
                <c:idx val="15"/>
                <c:order val="1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Manutenção!$R$57:$R$58</c15:sqref>
                        </c15:formulaRef>
                      </c:ext>
                    </c:extLst>
                    <c:strCache>
                      <c:ptCount val="2"/>
                      <c:pt idx="0">
                        <c:v>ESFREGÃO </c:v>
                      </c:pt>
                      <c:pt idx="1">
                        <c:v>∆ RELATIVA</c:v>
                      </c:pt>
                    </c:strCache>
                  </c:strRef>
                </c:tx>
                <c:spPr>
                  <a:solidFill>
                    <a:schemeClr val="accent4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Manutenção!$R$59:$R$82</c15:sqref>
                        </c15:fullRef>
                        <c15:formulaRef>
                          <c15:sqref>Manutenção!$R$59:$R$78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2" formatCode="0.0%">
                        <c:v>0.75</c:v>
                      </c:pt>
                      <c:pt idx="3" formatCode="0.0%">
                        <c:v>-1.2</c:v>
                      </c:pt>
                      <c:pt idx="4" formatCode="0.0%">
                        <c:v>-1</c:v>
                      </c:pt>
                      <c:pt idx="5" formatCode="0.0%">
                        <c:v>-1</c:v>
                      </c:pt>
                      <c:pt idx="6" formatCode="0.0%">
                        <c:v>0</c:v>
                      </c:pt>
                      <c:pt idx="7" formatCode="0.0%">
                        <c:v>0</c:v>
                      </c:pt>
                      <c:pt idx="8" formatCode="0.0%">
                        <c:v>0</c:v>
                      </c:pt>
                      <c:pt idx="9" formatCode="0.0%">
                        <c:v>0</c:v>
                      </c:pt>
                      <c:pt idx="10" formatCode="0.0%">
                        <c:v>0</c:v>
                      </c:pt>
                      <c:pt idx="11" formatCode="0.0%">
                        <c:v>0</c:v>
                      </c:pt>
                      <c:pt idx="12" formatCode="0.0%">
                        <c:v>0</c:v>
                      </c:pt>
                      <c:pt idx="13" formatCode="0.0%">
                        <c:v>0</c:v>
                      </c:pt>
                      <c:pt idx="14" formatCode="0.0%">
                        <c:v>0</c:v>
                      </c:pt>
                      <c:pt idx="15" formatCode="0.0%">
                        <c:v>0</c:v>
                      </c:pt>
                      <c:pt idx="16" formatCode="0.0%">
                        <c:v>0</c:v>
                      </c:pt>
                      <c:pt idx="17" formatCode="0.0%">
                        <c:v>0</c:v>
                      </c:pt>
                      <c:pt idx="18" formatCode="0.0%">
                        <c:v>0</c:v>
                      </c:pt>
                      <c:pt idx="19" formatCode="0.0%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0-577D-4620-B481-3004785F2997}"/>
                  </c:ext>
                </c:extLst>
              </c15:ser>
            </c15:filteredBarSeries>
            <c15:filteredBarSeries>
              <c15:ser>
                <c:idx val="16"/>
                <c:order val="1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Manutenção!$S$57:$S$58</c15:sqref>
                        </c15:formulaRef>
                      </c:ext>
                    </c:extLst>
                    <c:strCache>
                      <c:ptCount val="2"/>
                      <c:pt idx="0">
                        <c:v>SOLID FLOORCARE</c:v>
                      </c:pt>
                      <c:pt idx="1">
                        <c:v>∆ ABSOLUTA</c:v>
                      </c:pt>
                    </c:strCache>
                  </c:strRef>
                </c:tx>
                <c:spPr>
                  <a:solidFill>
                    <a:schemeClr val="accent5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Manutenção!$S$59:$S$82</c15:sqref>
                        </c15:fullRef>
                        <c15:formulaRef>
                          <c15:sqref>Manutenção!$S$59:$S$78</c15:sqref>
                        </c15:formulaRef>
                      </c:ext>
                    </c:extLst>
                    <c:numCache>
                      <c:formatCode>0</c:formatCode>
                      <c:ptCount val="20"/>
                      <c:pt idx="0">
                        <c:v>-2</c:v>
                      </c:pt>
                      <c:pt idx="1">
                        <c:v>-1</c:v>
                      </c:pt>
                      <c:pt idx="2">
                        <c:v>-3</c:v>
                      </c:pt>
                      <c:pt idx="3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577D-4620-B481-3004785F2997}"/>
                  </c:ext>
                </c:extLst>
              </c15:ser>
            </c15:filteredBarSeries>
            <c15:filteredBarSeries>
              <c15:ser>
                <c:idx val="17"/>
                <c:order val="17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Manutenção!$T$57:$T$58</c15:sqref>
                        </c15:formulaRef>
                      </c:ext>
                    </c:extLst>
                    <c:strCache>
                      <c:ptCount val="2"/>
                      <c:pt idx="0">
                        <c:v>SOLID FLOORCARE</c:v>
                      </c:pt>
                      <c:pt idx="1">
                        <c:v>∆ RELATIVA</c:v>
                      </c:pt>
                    </c:strCache>
                  </c:strRef>
                </c:tx>
                <c:spPr>
                  <a:solidFill>
                    <a:schemeClr val="accent6">
                      <a:lumMod val="80000"/>
                      <a:lumOff val="2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900" b="0" i="0" u="none" strike="noStrike" kern="1200" baseline="0">
                          <a:solidFill>
                            <a:schemeClr val="tx1">
                              <a:lumMod val="75000"/>
                              <a:lumOff val="25000"/>
                            </a:schemeClr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out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 cap="flat" cmpd="sng" algn="ctr">
                            <a:solidFill>
                              <a:schemeClr val="tx1">
                                <a:lumMod val="35000"/>
                                <a:lumOff val="65000"/>
                              </a:schemeClr>
                            </a:solidFill>
                            <a:round/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multiLvlStrRef>
                    <c:extLst>
                      <c:ext xmlns:c15="http://schemas.microsoft.com/office/drawing/2012/chart" uri="{02D57815-91ED-43cb-92C2-25804820EDAC}">
                        <c15:fullRef>
                          <c15:sqref>Manutenção!$A$59:$B$82</c15:sqref>
                        </c15:fullRef>
                        <c15:formulaRef>
                          <c15:sqref>Manutenção!$A$59:$B$78</c15:sqref>
                        </c15:formulaRef>
                      </c:ext>
                    </c:extLst>
                    <c:multiLvlStrCache>
                      <c:ptCount val="20"/>
                      <c:lvl>
                        <c:pt idx="0">
                          <c:v>AMADORA</c:v>
                        </c:pt>
                        <c:pt idx="1">
                          <c:v>QUELUZ</c:v>
                        </c:pt>
                        <c:pt idx="2">
                          <c:v>AMADORA</c:v>
                        </c:pt>
                        <c:pt idx="3">
                          <c:v>QUELUZ</c:v>
                        </c:pt>
                        <c:pt idx="4">
                          <c:v>AMADORA</c:v>
                        </c:pt>
                        <c:pt idx="5">
                          <c:v>QUELUZ</c:v>
                        </c:pt>
                        <c:pt idx="6">
                          <c:v>AMADORA</c:v>
                        </c:pt>
                        <c:pt idx="7">
                          <c:v>QUELUZ</c:v>
                        </c:pt>
                        <c:pt idx="8">
                          <c:v>AMADORA</c:v>
                        </c:pt>
                        <c:pt idx="9">
                          <c:v>QUELUZ</c:v>
                        </c:pt>
                        <c:pt idx="10">
                          <c:v>AMADORA</c:v>
                        </c:pt>
                        <c:pt idx="11">
                          <c:v>QUELUZ</c:v>
                        </c:pt>
                        <c:pt idx="12">
                          <c:v>AMADORA</c:v>
                        </c:pt>
                        <c:pt idx="13">
                          <c:v>QUELUZ</c:v>
                        </c:pt>
                        <c:pt idx="14">
                          <c:v>AMADORA</c:v>
                        </c:pt>
                        <c:pt idx="15">
                          <c:v>QUELUZ</c:v>
                        </c:pt>
                        <c:pt idx="16">
                          <c:v>AMADORA</c:v>
                        </c:pt>
                        <c:pt idx="17">
                          <c:v>QUELUZ</c:v>
                        </c:pt>
                        <c:pt idx="18">
                          <c:v>AMADORA</c:v>
                        </c:pt>
                        <c:pt idx="19">
                          <c:v>QUELUZ</c:v>
                        </c:pt>
                      </c:lvl>
                      <c:lvl>
                        <c:pt idx="0">
                          <c:v>JANEIRO</c:v>
                        </c:pt>
                        <c:pt idx="2">
                          <c:v>FEVEREIRO</c:v>
                        </c:pt>
                        <c:pt idx="4">
                          <c:v>MARÇO</c:v>
                        </c:pt>
                        <c:pt idx="6">
                          <c:v>ABRIL</c:v>
                        </c:pt>
                        <c:pt idx="8">
                          <c:v>MAIO</c:v>
                        </c:pt>
                        <c:pt idx="10">
                          <c:v>JUNHO</c:v>
                        </c:pt>
                        <c:pt idx="12">
                          <c:v>JULHO</c:v>
                        </c:pt>
                        <c:pt idx="14">
                          <c:v>AGOSTO</c:v>
                        </c:pt>
                        <c:pt idx="16">
                          <c:v>SETEMBRO</c:v>
                        </c:pt>
                        <c:pt idx="18">
                          <c:v>OUTUBRO</c:v>
                        </c:pt>
                      </c:lvl>
                    </c:multiLvlStrCache>
                  </c:multiLvlStrRef>
                </c:cat>
                <c:val>
                  <c:numRef>
                    <c:extLst>
                      <c:ext xmlns:c15="http://schemas.microsoft.com/office/drawing/2012/chart" uri="{02D57815-91ED-43cb-92C2-25804820EDAC}">
                        <c15:fullRef>
                          <c15:sqref>Manutenção!$T$59:$T$82</c15:sqref>
                        </c15:fullRef>
                        <c15:formulaRef>
                          <c15:sqref>Manutenção!$T$59:$T$78</c15:sqref>
                        </c15:formulaRef>
                      </c:ext>
                    </c:extLst>
                    <c:numCache>
                      <c:formatCode>0%</c:formatCode>
                      <c:ptCount val="20"/>
                      <c:pt idx="2" formatCode="0.0%">
                        <c:v>0.5</c:v>
                      </c:pt>
                      <c:pt idx="3" formatCode="0.0%">
                        <c:v>-1</c:v>
                      </c:pt>
                      <c:pt idx="4" formatCode="0.0%">
                        <c:v>-1</c:v>
                      </c:pt>
                      <c:pt idx="5" formatCode="0.0%">
                        <c:v>0</c:v>
                      </c:pt>
                      <c:pt idx="6" formatCode="0.0%">
                        <c:v>0</c:v>
                      </c:pt>
                      <c:pt idx="7" formatCode="0.0%">
                        <c:v>0</c:v>
                      </c:pt>
                      <c:pt idx="8" formatCode="0.0%">
                        <c:v>0</c:v>
                      </c:pt>
                      <c:pt idx="9" formatCode="0.0%">
                        <c:v>0</c:v>
                      </c:pt>
                      <c:pt idx="10" formatCode="0.0%">
                        <c:v>0</c:v>
                      </c:pt>
                      <c:pt idx="11" formatCode="0.0%">
                        <c:v>0</c:v>
                      </c:pt>
                      <c:pt idx="12" formatCode="0.0%">
                        <c:v>0</c:v>
                      </c:pt>
                      <c:pt idx="13" formatCode="0.0%">
                        <c:v>0</c:v>
                      </c:pt>
                      <c:pt idx="14" formatCode="0.0%">
                        <c:v>0</c:v>
                      </c:pt>
                      <c:pt idx="15" formatCode="0.0%">
                        <c:v>0</c:v>
                      </c:pt>
                      <c:pt idx="16" formatCode="0.0%">
                        <c:v>0</c:v>
                      </c:pt>
                      <c:pt idx="17" formatCode="0.0%">
                        <c:v>0</c:v>
                      </c:pt>
                      <c:pt idx="18" formatCode="0.0%">
                        <c:v>0</c:v>
                      </c:pt>
                      <c:pt idx="19" formatCode="0.0%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11-577D-4620-B481-3004785F2997}"/>
                  </c:ext>
                </c:extLst>
              </c15:ser>
            </c15:filteredBarSeries>
          </c:ext>
        </c:extLst>
      </c:barChart>
      <c:catAx>
        <c:axId val="208432252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84308799"/>
        <c:crosses val="autoZero"/>
        <c:auto val="1"/>
        <c:lblAlgn val="ctr"/>
        <c:lblOffset val="100"/>
        <c:noMultiLvlLbl val="0"/>
      </c:catAx>
      <c:valAx>
        <c:axId val="20843087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208432252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0" i="0" u="none" strike="noStrike" kern="1200" cap="none" spc="5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pt-PT"/>
              <a:t>Ranking Gerente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0" i="0" u="none" strike="noStrike" kern="1200" cap="none" spc="5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view3D>
      <c:rotX val="15"/>
      <c:rotY val="20"/>
      <c:depthPercent val="100"/>
      <c:rAngAx val="1"/>
    </c:view3D>
    <c:floor>
      <c:thickness val="0"/>
      <c:spPr>
        <a:solidFill>
          <a:schemeClr val="lt1">
            <a:alpha val="27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solidFill>
              <a:schemeClr val="accent6">
                <a:lumMod val="40000"/>
                <a:lumOff val="60000"/>
              </a:schemeClr>
            </a:solidFill>
            <a:ln>
              <a:solidFill>
                <a:schemeClr val="accent6">
                  <a:lumMod val="50000"/>
                </a:schemeClr>
              </a:solidFill>
            </a:ln>
            <a:effectLst/>
            <a:scene3d>
              <a:camera prst="orthographicFront"/>
              <a:lightRig rig="threePt" dir="t"/>
            </a:scene3d>
            <a:sp3d prstMaterial="translucentPowder">
              <a:contourClr>
                <a:schemeClr val="accent6">
                  <a:lumMod val="50000"/>
                </a:schemeClr>
              </a:contourClr>
            </a:sp3d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50000"/>
                        <a:lumOff val="50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BSV!$O$4:$O$16</c:f>
              <c:strCache>
                <c:ptCount val="13"/>
                <c:pt idx="0">
                  <c:v>Bruna</c:v>
                </c:pt>
                <c:pt idx="1">
                  <c:v>Claudia</c:v>
                </c:pt>
                <c:pt idx="2">
                  <c:v>Hugo</c:v>
                </c:pt>
                <c:pt idx="3">
                  <c:v>Isaac</c:v>
                </c:pt>
                <c:pt idx="5">
                  <c:v>Isabel</c:v>
                </c:pt>
                <c:pt idx="6">
                  <c:v>Janice</c:v>
                </c:pt>
                <c:pt idx="7">
                  <c:v>Luis</c:v>
                </c:pt>
                <c:pt idx="8">
                  <c:v>Marília</c:v>
                </c:pt>
                <c:pt idx="9">
                  <c:v>Uilson</c:v>
                </c:pt>
                <c:pt idx="10">
                  <c:v>Vitor</c:v>
                </c:pt>
                <c:pt idx="11">
                  <c:v>William</c:v>
                </c:pt>
                <c:pt idx="12">
                  <c:v>Média</c:v>
                </c:pt>
              </c:strCache>
            </c:strRef>
          </c:cat>
          <c:val>
            <c:numRef>
              <c:f>BSV!$P$4:$P$16</c:f>
              <c:numCache>
                <c:formatCode>0%</c:formatCode>
                <c:ptCount val="13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5">
                  <c:v>0.78549999999999998</c:v>
                </c:pt>
                <c:pt idx="6">
                  <c:v>0</c:v>
                </c:pt>
                <c:pt idx="7">
                  <c:v>0</c:v>
                </c:pt>
                <c:pt idx="8">
                  <c:v>0.86699999999999999</c:v>
                </c:pt>
                <c:pt idx="9">
                  <c:v>0.81899999999999995</c:v>
                </c:pt>
                <c:pt idx="10">
                  <c:v>0.83699999999999997</c:v>
                </c:pt>
                <c:pt idx="11">
                  <c:v>0</c:v>
                </c:pt>
                <c:pt idx="1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D9D8-4B0D-AD05-C79144A904C0}"/>
            </c:ext>
          </c:extLst>
        </c:ser>
        <c:dLbls>
          <c:showLegendKey val="0"/>
          <c:showVal val="1"/>
          <c:showCatName val="0"/>
          <c:showSerName val="0"/>
          <c:showPercent val="0"/>
          <c:showBubbleSize val="0"/>
        </c:dLbls>
        <c:gapWidth val="150"/>
        <c:shape val="box"/>
        <c:axId val="352779471"/>
        <c:axId val="371796831"/>
        <c:axId val="0"/>
      </c:bar3DChart>
      <c:catAx>
        <c:axId val="3527794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71796831"/>
        <c:crosses val="autoZero"/>
        <c:auto val="1"/>
        <c:lblAlgn val="ctr"/>
        <c:lblOffset val="100"/>
        <c:noMultiLvlLbl val="0"/>
      </c:catAx>
      <c:valAx>
        <c:axId val="3717968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5000"/>
                  <a:lumOff val="9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2779471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r>
              <a:rPr lang="pt-PT"/>
              <a:t>Ranking Gerentes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gradFill>
              <a:gsLst>
                <a:gs pos="0">
                  <a:schemeClr val="accent1"/>
                </a:gs>
                <a:gs pos="100000">
                  <a:schemeClr val="accent1"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val>
            <c:numRef>
              <c:f>VSC!$P$4:$P$15</c:f>
            </c:numRef>
          </c:val>
          <c:extLst>
            <c:ext xmlns:c15="http://schemas.microsoft.com/office/drawing/2012/chart" uri="{02D57815-91ED-43cb-92C2-25804820EDAC}">
              <c15:filteredCategoryTitle>
                <c15:cat>
                  <c:multiLvlStrRef>
                    <c:extLst>
                      <c:ext uri="{02D57815-91ED-43cb-92C2-25804820EDAC}">
                        <c15:formulaRef>
                          <c15:sqref>VSC!$O$4:$O$15</c15:sqref>
                        </c15:formulaRef>
                      </c:ext>
                    </c:extLst>
                  </c:multiLvlStrRef>
                </c15:cat>
              </c15:filteredCategoryTitle>
            </c:ext>
            <c:ext xmlns:c16="http://schemas.microsoft.com/office/drawing/2014/chart" uri="{C3380CC4-5D6E-409C-BE32-E72D297353CC}">
              <c16:uniqueId val="{00000000-F95D-47D6-B7D3-CE1DCC818280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421730991"/>
        <c:axId val="350651567"/>
      </c:barChart>
      <c:catAx>
        <c:axId val="4217309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PT"/>
          </a:p>
        </c:txPr>
        <c:crossAx val="350651567"/>
        <c:crosses val="autoZero"/>
        <c:auto val="1"/>
        <c:lblAlgn val="ctr"/>
        <c:lblOffset val="100"/>
        <c:noMultiLvlLbl val="0"/>
      </c:catAx>
      <c:valAx>
        <c:axId val="350651567"/>
        <c:scaling>
          <c:orientation val="minMax"/>
        </c:scaling>
        <c:delete val="1"/>
        <c:axPos val="l"/>
        <c:numFmt formatCode="0%" sourceLinked="1"/>
        <c:majorTickMark val="none"/>
        <c:minorTickMark val="none"/>
        <c:tickLblPos val="nextTo"/>
        <c:crossAx val="421730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PT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hart3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PT"/>
  <c:roundedCorners val="0"/>
  <mc:AlternateContent xmlns:mc="http://schemas.openxmlformats.org/markup-compatibility/2006">
    <mc:Choice xmlns:c14="http://schemas.microsoft.com/office/drawing/2007/8/2/chart" Requires="c14">
      <c14:style val="108"/>
    </mc:Choice>
    <mc:Fallback>
      <c:style val="8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b="0" i="0" u="none" strike="noStrike" kern="1200" baseline="0">
              <a:solidFill>
                <a:schemeClr val="dk1">
                  <a:lumMod val="65000"/>
                  <a:lumOff val="35000"/>
                </a:schemeClr>
              </a:solidFill>
              <a:effectLst/>
              <a:latin typeface="+mn-lt"/>
              <a:ea typeface="+mn-ea"/>
              <a:cs typeface="+mn-cs"/>
            </a:defRPr>
          </a:pPr>
          <a:endParaRPr lang="pt-PT"/>
        </a:p>
      </c:txPr>
    </c:title>
    <c:autoTitleDeleted val="0"/>
    <c:plotArea>
      <c:layout>
        <c:manualLayout>
          <c:layoutTarget val="inner"/>
          <c:xMode val="edge"/>
          <c:yMode val="edge"/>
          <c:x val="4.8655838161157629E-2"/>
          <c:y val="8.1168831168831168E-2"/>
          <c:w val="0.94619145155299511"/>
          <c:h val="0.84155439376896068"/>
        </c:manualLayout>
      </c:layout>
      <c:barChart>
        <c:barDir val="col"/>
        <c:grouping val="clustered"/>
        <c:varyColors val="0"/>
        <c:ser>
          <c:idx val="7"/>
          <c:order val="7"/>
          <c:tx>
            <c:strRef>
              <c:f>Gerentes!$J$2</c:f>
              <c:strCache>
                <c:ptCount val="1"/>
                <c:pt idx="0">
                  <c:v>Perdas</c:v>
                </c:pt>
              </c:strCache>
            </c:strRef>
          </c:tx>
          <c:spPr>
            <a:gradFill>
              <a:gsLst>
                <a:gs pos="0">
                  <a:schemeClr val="accent6">
                    <a:tint val="90000"/>
                  </a:schemeClr>
                </a:gs>
                <a:gs pos="100000">
                  <a:schemeClr val="accent6">
                    <a:tint val="90000"/>
                    <a:lumMod val="84000"/>
                  </a:schemeClr>
                </a:gs>
              </a:gsLst>
              <a:lin ang="5400000" scaled="1"/>
            </a:gradFill>
            <a:ln>
              <a:noFill/>
            </a:ln>
            <a:effectLst>
              <a:outerShdw blurRad="76200" dir="18900000" sy="23000" kx="-1200000" algn="bl" rotWithShape="0">
                <a:prstClr val="black">
                  <a:alpha val="20000"/>
                </a:prst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pt-PT"/>
              </a:p>
            </c:txPr>
            <c:dLblPos val="in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dk1">
                          <a:lumMod val="50000"/>
                          <a:lumOff val="50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Gerentes!$B$3:$B$14</c:f>
              <c:strCache>
                <c:ptCount val="12"/>
                <c:pt idx="0">
                  <c:v>Bruna</c:v>
                </c:pt>
                <c:pt idx="1">
                  <c:v>Isaac</c:v>
                </c:pt>
                <c:pt idx="2">
                  <c:v>Isabel</c:v>
                </c:pt>
                <c:pt idx="3">
                  <c:v>Janice</c:v>
                </c:pt>
                <c:pt idx="5">
                  <c:v>Uilson</c:v>
                </c:pt>
                <c:pt idx="6">
                  <c:v>Claudia</c:v>
                </c:pt>
                <c:pt idx="7">
                  <c:v>Hugo</c:v>
                </c:pt>
                <c:pt idx="8">
                  <c:v>Marília</c:v>
                </c:pt>
                <c:pt idx="9">
                  <c:v>Vitor</c:v>
                </c:pt>
                <c:pt idx="10">
                  <c:v>William</c:v>
                </c:pt>
                <c:pt idx="11">
                  <c:v>Média</c:v>
                </c:pt>
              </c:strCache>
            </c:strRef>
          </c:cat>
          <c:val>
            <c:numRef>
              <c:f>Gerentes!$J$3:$J$14</c:f>
              <c:numCache>
                <c:formatCode>0.00%</c:formatCode>
                <c:ptCount val="12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651D-4834-A39E-09B6355D323D}"/>
            </c:ext>
          </c:extLst>
        </c:ser>
        <c:dLbls>
          <c:dLblPos val="inEnd"/>
          <c:showLegendKey val="0"/>
          <c:showVal val="1"/>
          <c:showCatName val="0"/>
          <c:showSerName val="0"/>
          <c:showPercent val="0"/>
          <c:showBubbleSize val="0"/>
        </c:dLbls>
        <c:gapWidth val="41"/>
        <c:axId val="1211067071"/>
        <c:axId val="406780831"/>
        <c:extLst>
          <c:ext xmlns:c15="http://schemas.microsoft.com/office/drawing/2012/chart" uri="{02D57815-91ED-43cb-92C2-25804820EDAC}">
            <c15:filteredBar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Gerentes!$C$2</c15:sqref>
                        </c15:formulaRef>
                      </c:ext>
                    </c:extLst>
                    <c:strCache>
                      <c:ptCount val="1"/>
                      <c:pt idx="0">
                        <c:v>BSV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shade val="40000"/>
                        </a:schemeClr>
                      </a:gs>
                      <a:gs pos="100000">
                        <a:schemeClr val="accent6">
                          <a:shade val="4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>
                    <c:ext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>
                      <c:ext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Gerentes!$C$3:$C$14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0.78549999999999998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0.86699999999999999</c:v>
                      </c:pt>
                      <c:pt idx="8">
                        <c:v>0.81899999999999995</c:v>
                      </c:pt>
                      <c:pt idx="9">
                        <c:v>0.83699999999999997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0-651D-4834-A39E-09B6355D323D}"/>
                  </c:ext>
                </c:extLst>
              </c15:ser>
            </c15:filteredBarSeries>
            <c15:filteredBarSeries>
              <c15:ser>
                <c:idx val="1"/>
                <c:order val="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Gerentes!$D$2</c15:sqref>
                        </c15:formulaRef>
                      </c:ext>
                    </c:extLst>
                    <c:strCache>
                      <c:ptCount val="1"/>
                      <c:pt idx="0">
                        <c:v>VSC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shade val="50000"/>
                        </a:schemeClr>
                      </a:gs>
                      <a:gs pos="100000">
                        <a:schemeClr val="accent6">
                          <a:shade val="5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Gerentes!$D$3:$D$14</c15:sqref>
                        </c15:formulaRef>
                      </c:ext>
                    </c:extLst>
                    <c:numCache>
                      <c:formatCode>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 formatCode="General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1-651D-4834-A39E-09B6355D323D}"/>
                  </c:ext>
                </c:extLst>
              </c15:ser>
            </c15:filteredBarSeries>
            <c15:filteredBar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Gerentes!$E$2</c15:sqref>
                        </c15:formulaRef>
                      </c:ext>
                    </c:extLst>
                    <c:strCache>
                      <c:ptCount val="1"/>
                      <c:pt idx="0">
                        <c:v>Vendas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shade val="60000"/>
                        </a:schemeClr>
                      </a:gs>
                      <a:gs pos="100000">
                        <a:schemeClr val="accent6">
                          <a:shade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Gerentes!$E$3:$E$14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651D-4834-A39E-09B6355D323D}"/>
                  </c:ext>
                </c:extLst>
              </c15:ser>
            </c15:filteredBarSeries>
            <c15:filteredBar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Gerentes!$F$2</c15:sqref>
                        </c15:formulaRef>
                      </c:ext>
                    </c:extLst>
                    <c:strCache>
                      <c:ptCount val="1"/>
                      <c:pt idx="0">
                        <c:v>∆Vendas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shade val="70000"/>
                        </a:schemeClr>
                      </a:gs>
                      <a:gs pos="100000">
                        <a:schemeClr val="accent6">
                          <a:shade val="7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Gerentes!$F$3:$F$14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 formatCode="_-* #\ ##0.00\ _€_-;\-* #\ ##0.00\ _€_-;_-* &quot;-&quot;??\ _€_-;_-@_-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651D-4834-A39E-09B6355D323D}"/>
                  </c:ext>
                </c:extLst>
              </c15:ser>
            </c15:filteredBarSeries>
            <c15:filteredBarSeries>
              <c15:ser>
                <c:idx val="4"/>
                <c:order val="4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Gerentes!$G$2</c15:sqref>
                        </c15:formulaRef>
                      </c:ext>
                    </c:extLst>
                    <c:strCache>
                      <c:ptCount val="1"/>
                      <c:pt idx="0">
                        <c:v>Horas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shade val="80000"/>
                        </a:schemeClr>
                      </a:gs>
                      <a:gs pos="100000">
                        <a:schemeClr val="accent6">
                          <a:shade val="8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Gerentes!$G$3:$G$14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4-651D-4834-A39E-09B6355D323D}"/>
                  </c:ext>
                </c:extLst>
              </c15:ser>
            </c15:filteredBarSeries>
            <c15:filteredBarSeries>
              <c15:ser>
                <c:idx val="5"/>
                <c:order val="5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Gerentes!$H$2</c15:sqref>
                        </c15:formulaRef>
                      </c:ext>
                    </c:extLst>
                    <c:strCache>
                      <c:ptCount val="1"/>
                      <c:pt idx="0">
                        <c:v>Produtividade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shade val="90000"/>
                        </a:schemeClr>
                      </a:gs>
                      <a:gs pos="100000">
                        <a:schemeClr val="accent6">
                          <a:shade val="9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Gerentes!$H$3:$H$14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 formatCode="General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5-651D-4834-A39E-09B6355D323D}"/>
                  </c:ext>
                </c:extLst>
              </c15:ser>
            </c15:filteredBarSeries>
            <c15:filteredBarSeries>
              <c15:ser>
                <c:idx val="6"/>
                <c:order val="6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Gerentes!$I$2</c15:sqref>
                        </c15:formulaRef>
                      </c:ext>
                    </c:extLst>
                    <c:strCache>
                      <c:ptCount val="1"/>
                      <c:pt idx="0">
                        <c:v>Mão obra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/>
                      </a:gs>
                      <a:gs pos="100000">
                        <a:schemeClr val="accent6"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Gerentes!$I$3:$I$14</c15:sqref>
                        </c15:formulaRef>
                      </c:ext>
                    </c:extLst>
                    <c:numCache>
                      <c:formatCode>0.0%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6-651D-4834-A39E-09B6355D323D}"/>
                  </c:ext>
                </c:extLst>
              </c15:ser>
            </c15:filteredBarSeries>
            <c15:filteredBarSeries>
              <c15:ser>
                <c:idx val="8"/>
                <c:order val="8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Gerentes!$K$2</c15:sqref>
                        </c15:formulaRef>
                      </c:ext>
                    </c:extLst>
                    <c:strCache>
                      <c:ptCount val="1"/>
                      <c:pt idx="0">
                        <c:v>TET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tint val="80000"/>
                        </a:schemeClr>
                      </a:gs>
                      <a:gs pos="100000">
                        <a:schemeClr val="accent6">
                          <a:tint val="8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Gerentes!$K$3:$K$14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8-651D-4834-A39E-09B6355D323D}"/>
                  </c:ext>
                </c:extLst>
              </c15:ser>
            </c15:filteredBarSeries>
            <c15:filteredBarSeries>
              <c15:ser>
                <c:idx val="9"/>
                <c:order val="9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Gerentes!$L$2</c15:sqref>
                        </c15:formulaRef>
                      </c:ext>
                    </c:extLst>
                    <c:strCache>
                      <c:ptCount val="1"/>
                      <c:pt idx="0">
                        <c:v>R2P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tint val="70000"/>
                        </a:schemeClr>
                      </a:gs>
                      <a:gs pos="100000">
                        <a:schemeClr val="accent6">
                          <a:tint val="7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Gerentes!$L$3:$L$14</c15:sqref>
                        </c15:formulaRef>
                      </c:ext>
                    </c:extLst>
                    <c:numCache>
                      <c:formatCode>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9-651D-4834-A39E-09B6355D323D}"/>
                  </c:ext>
                </c:extLst>
              </c15:ser>
            </c15:filteredBarSeries>
            <c15:filteredBarSeries>
              <c15:ser>
                <c:idx val="10"/>
                <c:order val="10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Gerentes!$M$2</c15:sqref>
                        </c15:formulaRef>
                      </c:ext>
                    </c:extLst>
                    <c:strCache>
                      <c:ptCount val="1"/>
                      <c:pt idx="0">
                        <c:v>Reembolsos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tint val="60000"/>
                        </a:schemeClr>
                      </a:gs>
                      <a:gs pos="100000">
                        <a:schemeClr val="accent6">
                          <a:tint val="6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Gerentes!$M$3:$M$14</c15:sqref>
                        </c15:formulaRef>
                      </c:ext>
                    </c:extLst>
                    <c:numCache>
                      <c:formatCode>0.00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A-651D-4834-A39E-09B6355D323D}"/>
                  </c:ext>
                </c:extLst>
              </c15:ser>
            </c15:filteredBarSeries>
            <c15:filteredBarSeries>
              <c15:ser>
                <c:idx val="11"/>
                <c:order val="11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Gerentes!$N$2</c15:sqref>
                        </c15:formulaRef>
                      </c:ext>
                    </c:extLst>
                    <c:strCache>
                      <c:ptCount val="1"/>
                      <c:pt idx="0">
                        <c:v>µ Reembolsos</c:v>
                      </c:pt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tint val="50000"/>
                        </a:schemeClr>
                      </a:gs>
                      <a:gs pos="100000">
                        <a:schemeClr val="accent6">
                          <a:tint val="5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Gerentes!$N$3:$N$14</c15:sqref>
                        </c15:formulaRef>
                      </c:ext>
                    </c:extLst>
                    <c:numCache>
                      <c:formatCode>_("€"* #,##0.00_);_("€"* \(#,##0.00\);_("€"* "-"??_);_(@_)</c:formatCode>
                      <c:ptCount val="12"/>
                      <c:pt idx="0">
                        <c:v>0</c:v>
                      </c:pt>
                      <c:pt idx="1">
                        <c:v>0</c:v>
                      </c:pt>
                      <c:pt idx="2">
                        <c:v>0</c:v>
                      </c:pt>
                      <c:pt idx="3">
                        <c:v>0</c:v>
                      </c:pt>
                      <c:pt idx="4">
                        <c:v>0</c:v>
                      </c:pt>
                      <c:pt idx="5">
                        <c:v>0</c:v>
                      </c:pt>
                      <c:pt idx="6">
                        <c:v>0</c:v>
                      </c:pt>
                      <c:pt idx="7">
                        <c:v>0</c:v>
                      </c:pt>
                      <c:pt idx="8">
                        <c:v>0</c:v>
                      </c:pt>
                      <c:pt idx="9">
                        <c:v>0</c:v>
                      </c:pt>
                      <c:pt idx="10">
                        <c:v>0</c:v>
                      </c:pt>
                      <c:pt idx="11" formatCode="0">
                        <c:v>0</c:v>
                      </c:pt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B-651D-4834-A39E-09B6355D323D}"/>
                  </c:ext>
                </c:extLst>
              </c15:ser>
            </c15:filteredBarSeries>
            <c15:filteredBarSeries>
              <c15:ser>
                <c:idx val="12"/>
                <c:order val="1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Gerentes!$O$2</c15:sqref>
                        </c15:formulaRef>
                      </c:ext>
                    </c:extLst>
                    <c:strCache>
                      <c:ptCount val="1"/>
                    </c:strCache>
                  </c:strRef>
                </c:tx>
                <c:spPr>
                  <a:gradFill>
                    <a:gsLst>
                      <a:gs pos="0">
                        <a:schemeClr val="accent6">
                          <a:tint val="40000"/>
                        </a:schemeClr>
                      </a:gs>
                      <a:gs pos="100000">
                        <a:schemeClr val="accent6">
                          <a:tint val="40000"/>
                          <a:lumMod val="84000"/>
                        </a:schemeClr>
                      </a:gs>
                    </a:gsLst>
                    <a:lin ang="5400000" scaled="1"/>
                  </a:gradFill>
                  <a:ln>
                    <a:noFill/>
                  </a:ln>
                  <a:effectLst>
                    <a:outerShdw blurRad="76200" dir="18900000" sy="23000" kx="-1200000" algn="bl" rotWithShape="0">
                      <a:prstClr val="black">
                        <a:alpha val="20000"/>
                      </a:prstClr>
                    </a:outerShdw>
                  </a:effectLst>
                </c:spPr>
                <c:invertIfNegative val="0"/>
                <c:dLbls>
                  <c:spPr>
                    <a:noFill/>
                    <a:ln>
                      <a:noFill/>
                    </a:ln>
                    <a:effectLst/>
                  </c:spPr>
                  <c:txPr>
                    <a:bodyPr rot="0" spcFirstLastPara="1" vertOverflow="ellipsis" vert="horz" wrap="square" lIns="38100" tIns="19050" rIns="38100" bIns="19050" anchor="ctr" anchorCtr="1">
                      <a:spAutoFit/>
                    </a:bodyPr>
                    <a:lstStyle/>
                    <a:p>
                      <a:pPr>
                        <a:defRPr sz="1000" b="1" i="0" u="none" strike="noStrike" kern="1200" baseline="0">
                          <a:solidFill>
                            <a:schemeClr val="lt1"/>
                          </a:solidFill>
                          <a:latin typeface="+mn-lt"/>
                          <a:ea typeface="+mn-ea"/>
                          <a:cs typeface="+mn-cs"/>
                        </a:defRPr>
                      </a:pPr>
                      <a:endParaRPr lang="pt-PT"/>
                    </a:p>
                  </c:txPr>
                  <c:dLblPos val="inEnd"/>
                  <c:showLegendKey val="0"/>
                  <c:showVal val="1"/>
                  <c:showCatName val="0"/>
                  <c:showSerName val="0"/>
                  <c:showPercent val="0"/>
                  <c:showBubbleSize val="0"/>
                  <c:showLeaderLines val="0"/>
                  <c:extLst xmlns:c15="http://schemas.microsoft.com/office/drawing/2012/chart">
                    <c:ext xmlns:c15="http://schemas.microsoft.com/office/drawing/2012/chart" uri="{CE6537A1-D6FC-4f65-9D91-7224C49458BB}">
                      <c15:showLeaderLines val="1"/>
                      <c15:leaderLines>
                        <c:spPr>
                          <a:ln w="9525">
                            <a:solidFill>
                              <a:schemeClr val="dk1">
                                <a:lumMod val="50000"/>
                                <a:lumOff val="50000"/>
                              </a:schemeClr>
                            </a:solidFill>
                          </a:ln>
                          <a:effectLst/>
                        </c:spPr>
                      </c15:leaderLines>
                    </c:ext>
                  </c:extLst>
                </c:dLbls>
                <c:cat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Gerentes!$B$3:$B$14</c15:sqref>
                        </c15:formulaRef>
                      </c:ext>
                    </c:extLst>
                    <c:strCache>
                      <c:ptCount val="12"/>
                      <c:pt idx="0">
                        <c:v>Bruna</c:v>
                      </c:pt>
                      <c:pt idx="1">
                        <c:v>Isaac</c:v>
                      </c:pt>
                      <c:pt idx="2">
                        <c:v>Isabel</c:v>
                      </c:pt>
                      <c:pt idx="3">
                        <c:v>Janice</c:v>
                      </c:pt>
                      <c:pt idx="5">
                        <c:v>Uilson</c:v>
                      </c:pt>
                      <c:pt idx="6">
                        <c:v>Claudia</c:v>
                      </c:pt>
                      <c:pt idx="7">
                        <c:v>Hugo</c:v>
                      </c:pt>
                      <c:pt idx="8">
                        <c:v>Marília</c:v>
                      </c:pt>
                      <c:pt idx="9">
                        <c:v>Vitor</c:v>
                      </c:pt>
                      <c:pt idx="10">
                        <c:v>William</c:v>
                      </c:pt>
                      <c:pt idx="11">
                        <c:v>Média</c:v>
                      </c:pt>
                    </c:strCache>
                  </c:str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Gerentes!$O$3:$O$14</c15:sqref>
                        </c15:formulaRef>
                      </c:ext>
                    </c:extLst>
                    <c:numCache>
                      <c:formatCode>General</c:formatCode>
                      <c:ptCount val="12"/>
                    </c:numCache>
                  </c:numRef>
                </c:val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C-651D-4834-A39E-09B6355D323D}"/>
                  </c:ext>
                </c:extLst>
              </c15:ser>
            </c15:filteredBarSeries>
          </c:ext>
        </c:extLst>
      </c:barChart>
      <c:catAx>
        <c:axId val="121106707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effectLst/>
                <a:latin typeface="+mn-lt"/>
                <a:ea typeface="+mn-ea"/>
                <a:cs typeface="+mn-cs"/>
              </a:defRPr>
            </a:pPr>
            <a:endParaRPr lang="pt-PT"/>
          </a:p>
        </c:txPr>
        <c:crossAx val="406780831"/>
        <c:crosses val="autoZero"/>
        <c:auto val="1"/>
        <c:lblAlgn val="ctr"/>
        <c:lblOffset val="100"/>
        <c:noMultiLvlLbl val="0"/>
      </c:catAx>
      <c:valAx>
        <c:axId val="406780831"/>
        <c:scaling>
          <c:orientation val="minMax"/>
        </c:scaling>
        <c:delete val="1"/>
        <c:axPos val="l"/>
        <c:numFmt formatCode="0.00%" sourceLinked="1"/>
        <c:majorTickMark val="none"/>
        <c:minorTickMark val="none"/>
        <c:tickLblPos val="nextTo"/>
        <c:crossAx val="121106707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dk1">
                <a:lumMod val="15000"/>
                <a:lumOff val="85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dk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PT"/>
          </a:p>
        </c:txPr>
      </c:dTable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lt1"/>
        </a:gs>
        <a:gs pos="68000">
          <a:schemeClr val="lt1">
            <a:lumMod val="85000"/>
          </a:schemeClr>
        </a:gs>
        <a:gs pos="100000">
          <a:schemeClr val="lt1"/>
        </a:gs>
      </a:gsLst>
      <a:lin ang="5400000" scaled="1"/>
      <a:tileRect/>
    </a:gradFill>
    <a:ln w="9525" cap="flat" cmpd="sng" algn="ctr">
      <a:solidFill>
        <a:schemeClr val="dk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PT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Reversed" id="26">
  <a:schemeClr val="accent6"/>
</cs:colorStyle>
</file>

<file path=xl/charts/colors2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7.xml><?xml version="1.0" encoding="utf-8"?>
<cs:colorStyle xmlns:cs="http://schemas.microsoft.com/office/drawing/2012/chartStyle" xmlns:a="http://schemas.openxmlformats.org/drawingml/2006/main" meth="withinLinear" id="19">
  <a:schemeClr val="accent6"/>
</cs:colorStyle>
</file>

<file path=xl/charts/style1.xml><?xml version="1.0" encoding="utf-8"?>
<cs:chartStyle xmlns:cs="http://schemas.microsoft.com/office/drawing/2012/chartStyle" xmlns:a="http://schemas.openxmlformats.org/drawingml/2006/main" id="206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>
  <cs:dataPoint3D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3D>
  <cs:dataPointLine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158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2">
      <cs:styleClr val="auto"/>
    </cs:fillRef>
    <cs:effectRef idx="1"/>
    <cs:fontRef idx="minor">
      <a:schemeClr val="dk1"/>
    </cs:fontRef>
    <cs:spPr>
      <a:ln w="9525" cap="flat" cmpd="sng" algn="ctr">
        <a:solidFill>
          <a:schemeClr val="phClr">
            <a:shade val="95000"/>
          </a:schemeClr>
        </a:solidFill>
        <a:round/>
      </a:ln>
    </cs:spPr>
  </cs:dataPointMarker>
  <cs:dataPointMarkerLayout symbol="circle" size="4"/>
  <cs:dataPointWirefram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prstDash val="dash"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400" kern="1200" cap="none" spc="20" baseline="0"/>
  </cs:title>
  <cs:trendline>
    <cs:lnRef idx="0">
      <cs:styleClr val="auto"/>
    </cs:lnRef>
    <cs:fillRef idx="2"/>
    <cs:effectRef idx="0"/>
    <cs:fontRef idx="minor">
      <a:schemeClr val="dk1"/>
    </cs:fontRef>
    <cs:spPr>
      <a:ln w="952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8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58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defRPr sz="900" b="1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scene3d>
        <a:camera prst="orthographicFront"/>
        <a:lightRig rig="brightRoom" dir="t"/>
      </a:scene3d>
      <a:sp3d prstMaterial="flat">
        <a:bevelT w="50800" h="101600" prst="angle"/>
        <a:contourClr>
          <a:srgbClr val="000000"/>
        </a:contourClr>
      </a:sp3d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1905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1" i="0" kern="1200" cap="all" spc="5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3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800" kern="1200" cap="all" spc="12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lt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b="0" i="0" u="none" strike="noStrike" kern="1200" baseline="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22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ln w="9525">
        <a:solidFill>
          <a:schemeClr val="phClr"/>
        </a:solidFill>
        <a:round/>
      </a:ln>
    </cs:spPr>
  </cs:dataPointMarker>
  <cs:dataPointMarkerLayout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15000"/>
            <a:lumOff val="8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cap="all" spc="12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8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8.xml><?xml version="1.0" encoding="utf-8"?>
<cs:chartStyle xmlns:cs="http://schemas.microsoft.com/office/drawing/2012/chartStyle" xmlns:a="http://schemas.openxmlformats.org/drawingml/2006/main" id="235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 cap="all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b="0" kern="1200" cap="none" spc="0" normalizeH="0" baseline="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dk1">
          <a:lumMod val="15000"/>
          <a:lumOff val="85000"/>
        </a:schemeClr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8100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8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ajor">
      <a:schemeClr val="tx1">
        <a:lumMod val="65000"/>
        <a:lumOff val="35000"/>
      </a:schemeClr>
    </cs:fontRef>
    <cs:defRPr sz="2000" b="0" kern="1200" cap="none" spc="0" normalizeH="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round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1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8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0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1.xml><?xml version="1.0" encoding="utf-8"?>
<cs:chartStyle xmlns:cs="http://schemas.microsoft.com/office/drawing/2012/chartStyle" xmlns:a="http://schemas.openxmlformats.org/drawingml/2006/main" id="26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ln w="19050">
        <a:solidFill>
          <a:schemeClr val="lt1"/>
        </a:solidFill>
      </a:ln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ln w="25400">
        <a:solidFill>
          <a:schemeClr val="lt1"/>
        </a:solidFill>
      </a:ln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3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5.xml><?xml version="1.0" encoding="utf-8"?>
<cs:chartStyle xmlns:cs="http://schemas.microsoft.com/office/drawing/2012/chartStyle" xmlns:a="http://schemas.openxmlformats.org/drawingml/2006/main" id="292">
  <cs:axisTitle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</cs:spPr>
  </cs:dataPoint>
  <cs:dataPoint3D>
    <cs:lnRef idx="0">
      <cs:styleClr val="auto"/>
    </cs:lnRef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>
        <a:solidFill>
          <a:schemeClr val="phClr">
            <a:lumMod val="75000"/>
          </a:schemeClr>
        </a:solidFill>
      </a:ln>
      <a:scene3d>
        <a:camera prst="orthographicFront"/>
        <a:lightRig rig="threePt" dir="t"/>
      </a:scene3d>
      <a:sp3d prstMaterial="translucentPowder"/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>
            <a:alpha val="70000"/>
          </a:schemeClr>
        </a:solidFill>
        <a:round/>
      </a:ln>
    </cs:spPr>
  </cs:dataPointLine>
  <cs:dataPointMarker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70000"/>
        </a:schemeClr>
      </a:solidFill>
      <a:ln>
        <a:solidFill>
          <a:schemeClr val="phClr">
            <a:lumMod val="75000"/>
          </a:schemeClr>
        </a:solidFill>
      </a:ln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50000"/>
        <a:lumOff val="50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solidFill>
        <a:schemeClr val="lt1">
          <a:alpha val="27000"/>
        </a:schemeClr>
      </a:solidFill>
      <a:sp3d/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0" kern="1200" cap="none" spc="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5875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tx1">
        <a:lumMod val="50000"/>
        <a:lumOff val="50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sp3d/>
    </cs:spPr>
  </cs:wall>
</cs:chartStyle>
</file>

<file path=xl/charts/style36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37.xml><?xml version="1.0" encoding="utf-8"?>
<cs:chartStyle xmlns:cs="http://schemas.microsoft.com/office/drawing/2012/chartStyle" xmlns:a="http://schemas.openxmlformats.org/drawingml/2006/main" id="204">
  <cs:axisTitle>
    <cs:lnRef idx="0"/>
    <cs:fillRef idx="0"/>
    <cs:effectRef idx="0"/>
    <cs:fontRef idx="minor">
      <a:schemeClr val="dk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>
      <a:effectLst/>
    </cs:defRPr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68000">
            <a:schemeClr val="lt1">
              <a:lumMod val="85000"/>
            </a:schemeClr>
          </a:gs>
          <a:gs pos="100000">
            <a:schemeClr val="lt1"/>
          </a:gs>
        </a:gsLst>
        <a:lin ang="5400000" scaled="1"/>
        <a:tileRect/>
      </a:gradFill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lt1"/>
    </cs:fontRef>
    <cs:spPr/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10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gradFill>
          <a:gsLst>
            <a:gs pos="0">
              <a:schemeClr val="phClr"/>
            </a:gs>
            <a:gs pos="100000">
              <a:schemeClr val="phClr">
                <a:lumMod val="84000"/>
              </a:schemeClr>
            </a:gs>
          </a:gsLst>
          <a:lin ang="5400000" scaled="1"/>
        </a:gra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gradFill>
        <a:gsLst>
          <a:gs pos="0">
            <a:schemeClr val="phClr"/>
          </a:gs>
          <a:gs pos="100000">
            <a:schemeClr val="phClr">
              <a:lumMod val="84000"/>
            </a:schemeClr>
          </a:gs>
        </a:gsLst>
        <a:lin ang="5400000" scaled="1"/>
      </a:gradFill>
      <a:effectLst>
        <a:outerShdw blurRad="76200" dir="18900000" sy="23000" kx="-1200000" algn="bl" rotWithShape="0">
          <a:prstClr val="black">
            <a:alpha val="20000"/>
          </a:prstClr>
        </a:outerShdw>
      </a:effectLst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65000"/>
        <a:lumOff val="35000"/>
      </a:schemeClr>
    </cs:fontRef>
    <cs:spPr>
      <a:ln w="9525">
        <a:solidFill>
          <a:schemeClr val="dk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35000"/>
          <a:lumOff val="65000"/>
        </a:schemeClr>
      </a:solidFill>
      <a:ln w="9525">
        <a:solidFill>
          <a:schemeClr val="dk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dk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65000"/>
        <a:lumOff val="35000"/>
      </a:schemeClr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65000"/>
        <a:lumOff val="35000"/>
      </a:schemeClr>
    </cs:fontRef>
    <cs:defRPr kern="1200">
      <a:effectLst/>
    </cs:defRPr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ln w="9525">
        <a:solidFill>
          <a:schemeClr val="dk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dk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hyperlink" Target="https://restaurant.uber.com/v2/home/5e57bad0-cbdf-4aec-ade8-eb5370602385/feedback/menu-items" TargetMode="External"/><Relationship Id="rId13" Type="http://schemas.openxmlformats.org/officeDocument/2006/relationships/hyperlink" Target="https://reporting.fast-insight.com/login" TargetMode="External"/><Relationship Id="rId18" Type="http://schemas.openxmlformats.org/officeDocument/2006/relationships/hyperlink" Target="http://pt-iis01.corp.pri:5005/(S(pgolo2532utmsijkqy4ncejo))/Pc/Default.aspx" TargetMode="External"/><Relationship Id="rId3" Type="http://schemas.openxmlformats.org/officeDocument/2006/relationships/chart" Target="../charts/chart5.xml"/><Relationship Id="rId21" Type="http://schemas.openxmlformats.org/officeDocument/2006/relationships/chart" Target="../charts/chart8.xml"/><Relationship Id="rId7" Type="http://schemas.openxmlformats.org/officeDocument/2006/relationships/hyperlink" Target="https://www.google.pt/search?sca_esv=b1f7e2cc7f09216f&amp;sxsrf=AE3TifOf4bh1qf8N6g7GgfKojDg4hpgg3g:1760951701126&amp;q=Restaurante+mcdonald%27s+Queluz&amp;spell=1&amp;sa=X&amp;ved=2ahUKEwiu3fKkuLKQAxVIGDQIHfdwAzYQBSgAegQIChAB&amp;biw=1536&amp;bih=695&amp;dpr=1.25" TargetMode="External"/><Relationship Id="rId12" Type="http://schemas.openxmlformats.org/officeDocument/2006/relationships/image" Target="../media/image3.png"/><Relationship Id="rId17" Type="http://schemas.openxmlformats.org/officeDocument/2006/relationships/hyperlink" Target="https://app.buzzmonitor.com.br/public_dashboards/HbgSPqQbyraJvdr4n2680K8Yn7Y5Z5EI" TargetMode="External"/><Relationship Id="rId2" Type="http://schemas.openxmlformats.org/officeDocument/2006/relationships/chart" Target="../charts/chart4.xml"/><Relationship Id="rId16" Type="http://schemas.openxmlformats.org/officeDocument/2006/relationships/image" Target="../media/image5.png"/><Relationship Id="rId20" Type="http://schemas.openxmlformats.org/officeDocument/2006/relationships/chart" Target="../charts/chart7.xml"/><Relationship Id="rId1" Type="http://schemas.openxmlformats.org/officeDocument/2006/relationships/chart" Target="../charts/chart3.xml"/><Relationship Id="rId6" Type="http://schemas.openxmlformats.org/officeDocument/2006/relationships/image" Target="../media/image1.png"/><Relationship Id="rId11" Type="http://schemas.openxmlformats.org/officeDocument/2006/relationships/hyperlink" Target="https://speedofservice.mcdonalds.pt/pages/main.aspx" TargetMode="External"/><Relationship Id="rId5" Type="http://schemas.openxmlformats.org/officeDocument/2006/relationships/hyperlink" Target="https://www.google.pt/search?q=Restaurante+mcdonalds+amadora&amp;sxsrf=AOaemvLwz8EvKcQ55_xjStT_kaDkwKfHQQ%3A1631099240653&amp;source=hp&amp;ei=aJk4YcmlJeGa_QbHs7qYCw&amp;iflsig=ALs-wAMAAAAAYTineJiFGua65PR7G46jLXmlJvCeeO7S&amp;oq=Restaurante+mcdonalds+amadora&amp;gs_lcp=Cgdnd3Mtd2l6EAM6CwgAEIAEELEDEIMBOgsILhCABBCxAxCDAToOCC4QgAQQsQMQxwEQowI6CAguEIAEELEDOggILhCxAxCDAToOCC4QgAQQsQMQxwEQrwE6EQguEIAEELEDEIMBEMcBENEDOggIABCABBCxAzoFCC4QgAQ6BQgAEIAEOggIABCABBDJAzoFCAAQkgM6DgguELEDEIMBEMcBEK8BOggIABCxAxCDAToLCAAQgAQQsQMQyQM6CwguEIAEEMcBEK8BOgUIABCxAzoRCC4QgAQQsQMQgwEQxwEQrwE6EQguELEDEIMBEMcBEK8BEJMCOgYIABAWEB46DgguEIAEEMcBEK8BEJMCOggIABAWEAoQHjoJCAAQyQMQFhAeULfA1gZYp_PWBmDMjNcGaAJwAHgAgAGdAYgBlRiSAQUxMC4xOZgBAKABAbABAA&amp;sclient=gws-wiz&amp;ved=0ahUKEwjJ-dGWnu_yAhVhTd8KHceZDrMQ4dUDCAc&amp;uact=5" TargetMode="External"/><Relationship Id="rId15" Type="http://schemas.openxmlformats.org/officeDocument/2006/relationships/hyperlink" Target="https://app.buzzmonitor.com.br/public_dashboards/BlI1PdHRrtBhJ-zTs_w0WALMTfMbk-Bm" TargetMode="External"/><Relationship Id="rId23" Type="http://schemas.openxmlformats.org/officeDocument/2006/relationships/chart" Target="../charts/chart10.xml"/><Relationship Id="rId10" Type="http://schemas.openxmlformats.org/officeDocument/2006/relationships/hyperlink" Target="https://restaurant.uber.com" TargetMode="External"/><Relationship Id="rId19" Type="http://schemas.openxmlformats.org/officeDocument/2006/relationships/image" Target="../media/image6.png"/><Relationship Id="rId4" Type="http://schemas.openxmlformats.org/officeDocument/2006/relationships/chart" Target="../charts/chart6.xml"/><Relationship Id="rId9" Type="http://schemas.openxmlformats.org/officeDocument/2006/relationships/image" Target="../media/image2.png"/><Relationship Id="rId14" Type="http://schemas.openxmlformats.org/officeDocument/2006/relationships/image" Target="../media/image4.png"/><Relationship Id="rId22" Type="http://schemas.openxmlformats.org/officeDocument/2006/relationships/chart" Target="../charts/chart9.xml"/></Relationships>
</file>

<file path=xl/drawings/_rels/drawing3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zomato.com/pt/grande-lisboa/mcdonalds-venteira-lisboa" TargetMode="External"/><Relationship Id="rId13" Type="http://schemas.openxmlformats.org/officeDocument/2006/relationships/hyperlink" Target="https://restaurant.uber.com" TargetMode="External"/><Relationship Id="rId18" Type="http://schemas.openxmlformats.org/officeDocument/2006/relationships/hyperlink" Target="https://app.buzzmonitor.com.br/public_dashboards/BlI1PdHRrtBhJ-zTs_w0WALMTfMbk-Bm" TargetMode="External"/><Relationship Id="rId26" Type="http://schemas.openxmlformats.org/officeDocument/2006/relationships/chart" Target="../charts/chart18.xml"/><Relationship Id="rId3" Type="http://schemas.openxmlformats.org/officeDocument/2006/relationships/chart" Target="../charts/chart13.xml"/><Relationship Id="rId21" Type="http://schemas.openxmlformats.org/officeDocument/2006/relationships/hyperlink" Target="http://pt-iis01.corp.pri:5005/(S(pgolo2532utmsijkqy4ncejo))/Pc/Default.aspx" TargetMode="External"/><Relationship Id="rId7" Type="http://schemas.openxmlformats.org/officeDocument/2006/relationships/hyperlink" Target="https://www.google.pt/search?q=Restaurante+mcdonalds+Queluz&amp;sxsrf=AOaemvInKPDovLs1jksAKXESGjQYnaXTUw%3A1631113250571&amp;ei=ItA4Ybi0IqWEjLsPjrGtuAI&amp;oq=Restaurante+mcdonalds+Queluz&amp;gs_lcp=Cgdnd3Mtd2l6EAMyDgguEIAEEMcBEK8BEJMCOgcIABBHELADOgYIABAWEB46CAgAEBYQChAeSgQIQRgAUPyUAlj0ngJgrqACaAFwAngAgAGBAYgBxAWSAQMwLjaYAQCgAQHIAQjAAQE&amp;sclient=gws-wiz&amp;ved=0ahUKEwi4zY2v0u_yAhUlAmMBHY5YCycQ4dUDCA4&amp;uact=5#https://www.google.pt/search?q=Restaurante+mcdonalds+Queluz&amp;sxsrf=AOaemvInKPDovLs1jksAKXESGjQYnaXTUw%3A1631113250571&amp;ei=ItA4Ybi0IqWEjLsPjrGtuAI&amp;oq=Restaurante+mcdonalds+Queluz&amp;gs_lcp=Cgdnd3Mtd2l6EAMyDgguEIAEEMcBEK8BEJMCOgcIABBHELADOgYIABAWEB46CAgAEBYQChAeSgQIQRgAUPyUAlj0ngJgrqACaAFwAngAgAGBAYgBxAWSAQMwLjaYAQCgAQHIAQjAAQE&amp;sclient=gws-wiz&amp;ved=0ahUKEwi4zY2v0u_yAhUlAmMBHY5YCycQ4dUDCA4&amp;uact=5" TargetMode="External"/><Relationship Id="rId12" Type="http://schemas.openxmlformats.org/officeDocument/2006/relationships/image" Target="../media/image2.png"/><Relationship Id="rId17" Type="http://schemas.openxmlformats.org/officeDocument/2006/relationships/image" Target="../media/image4.png"/><Relationship Id="rId25" Type="http://schemas.openxmlformats.org/officeDocument/2006/relationships/chart" Target="../charts/chart17.xml"/><Relationship Id="rId2" Type="http://schemas.openxmlformats.org/officeDocument/2006/relationships/chart" Target="../charts/chart12.xml"/><Relationship Id="rId16" Type="http://schemas.openxmlformats.org/officeDocument/2006/relationships/hyperlink" Target="https://reporting.fast-insight.com/login" TargetMode="External"/><Relationship Id="rId20" Type="http://schemas.openxmlformats.org/officeDocument/2006/relationships/hyperlink" Target="https://app.buzzmonitor.com.br/public_dashboards/HbgSPqQbyraJvdr4n2680K8Yn7Y5Z5EI" TargetMode="External"/><Relationship Id="rId1" Type="http://schemas.openxmlformats.org/officeDocument/2006/relationships/chart" Target="../charts/chart11.xml"/><Relationship Id="rId6" Type="http://schemas.openxmlformats.org/officeDocument/2006/relationships/image" Target="../media/image1.png"/><Relationship Id="rId11" Type="http://schemas.openxmlformats.org/officeDocument/2006/relationships/hyperlink" Target="https://restaurant.uber.com/v2/home/5e57bad0-cbdf-4aec-ade8-eb5370602385/feedback/menu-items" TargetMode="External"/><Relationship Id="rId24" Type="http://schemas.openxmlformats.org/officeDocument/2006/relationships/chart" Target="../charts/chart16.xml"/><Relationship Id="rId5" Type="http://schemas.openxmlformats.org/officeDocument/2006/relationships/hyperlink" Target="https://www.google.pt/search?q=Restaurante+mcdonalds+amadora&amp;sxsrf=AOaemvLwz8EvKcQ55_xjStT_kaDkwKfHQQ%3A1631099240653&amp;source=hp&amp;ei=aJk4YcmlJeGa_QbHs7qYCw&amp;iflsig=ALs-wAMAAAAAYTineJiFGua65PR7G46jLXmlJvCeeO7S&amp;oq=Restaurante+mcdonalds+amadora&amp;gs_lcp=Cgdnd3Mtd2l6EAM6CwgAEIAEELEDEIMBOgsILhCABBCxAxCDAToOCC4QgAQQsQMQxwEQowI6CAguEIAEELEDOggILhCxAxCDAToOCC4QgAQQsQMQxwEQrwE6EQguEIAEELEDEIMBEMcBENEDOggIABCABBCxAzoFCC4QgAQ6BQgAEIAEOggIABCABBDJAzoFCAAQkgM6DgguELEDEIMBEMcBEK8BOggIABCxAxCDAToLCAAQgAQQsQMQyQM6CwguEIAEEMcBEK8BOgUIABCxAzoRCC4QgAQQsQMQgwEQxwEQrwE6EQguELEDEIMBEMcBEK8BEJMCOgYIABAWEB46DgguEIAEEMcBEK8BEJMCOggIABAWEAoQHjoJCAAQyQMQFhAeULfA1gZYp_PWBmDMjNcGaAJwAHgAgAGdAYgBlRiSAQUxMC4xOZgBAKABAbABAA&amp;sclient=gws-wiz&amp;ved=0ahUKEwjJ-dGWnu_yAhVhTd8KHceZDrMQ4dUDCAc&amp;uact=5" TargetMode="External"/><Relationship Id="rId15" Type="http://schemas.openxmlformats.org/officeDocument/2006/relationships/image" Target="../media/image3.png"/><Relationship Id="rId23" Type="http://schemas.openxmlformats.org/officeDocument/2006/relationships/chart" Target="../charts/chart15.xml"/><Relationship Id="rId10" Type="http://schemas.openxmlformats.org/officeDocument/2006/relationships/hyperlink" Target="https://www.zomato.com/pt/grande-lisboa/mcdonalds-queluz-lisboa" TargetMode="External"/><Relationship Id="rId19" Type="http://schemas.openxmlformats.org/officeDocument/2006/relationships/image" Target="../media/image5.png"/><Relationship Id="rId4" Type="http://schemas.openxmlformats.org/officeDocument/2006/relationships/chart" Target="../charts/chart14.xml"/><Relationship Id="rId9" Type="http://schemas.openxmlformats.org/officeDocument/2006/relationships/image" Target="../media/image7.jpeg"/><Relationship Id="rId14" Type="http://schemas.openxmlformats.org/officeDocument/2006/relationships/hyperlink" Target="https://speedofservice.mcdonalds.pt/pages/main.aspx" TargetMode="External"/><Relationship Id="rId22" Type="http://schemas.openxmlformats.org/officeDocument/2006/relationships/image" Target="../media/image6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1.xml"/><Relationship Id="rId7" Type="http://schemas.openxmlformats.org/officeDocument/2006/relationships/hyperlink" Target="http://pt-intranet.corp.pri:7033/TurnOver/TurnOverTtmV2.aspx" TargetMode="External"/><Relationship Id="rId2" Type="http://schemas.openxmlformats.org/officeDocument/2006/relationships/chart" Target="../charts/chart20.xml"/><Relationship Id="rId1" Type="http://schemas.openxmlformats.org/officeDocument/2006/relationships/chart" Target="../charts/chart19.xml"/><Relationship Id="rId6" Type="http://schemas.openxmlformats.org/officeDocument/2006/relationships/hyperlink" Target="http://pt-iis01.corp.pri:8082/windows/DashboardDetalhado.aspx" TargetMode="External"/><Relationship Id="rId5" Type="http://schemas.openxmlformats.org/officeDocument/2006/relationships/chart" Target="../charts/chart23.xml"/><Relationship Id="rId4" Type="http://schemas.openxmlformats.org/officeDocument/2006/relationships/chart" Target="../charts/chart22.xml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chart" Target="../charts/chart26.xml"/><Relationship Id="rId7" Type="http://schemas.openxmlformats.org/officeDocument/2006/relationships/chart" Target="../charts/chart30.xml"/><Relationship Id="rId2" Type="http://schemas.openxmlformats.org/officeDocument/2006/relationships/chart" Target="../charts/chart25.xml"/><Relationship Id="rId1" Type="http://schemas.openxmlformats.org/officeDocument/2006/relationships/chart" Target="../charts/chart24.xml"/><Relationship Id="rId6" Type="http://schemas.openxmlformats.org/officeDocument/2006/relationships/chart" Target="../charts/chart29.xml"/><Relationship Id="rId5" Type="http://schemas.openxmlformats.org/officeDocument/2006/relationships/chart" Target="../charts/chart28.xml"/><Relationship Id="rId4" Type="http://schemas.openxmlformats.org/officeDocument/2006/relationships/chart" Target="../charts/chart27.xml"/></Relationships>
</file>

<file path=xl/drawings/_rels/drawing6.xml.rels><?xml version="1.0" encoding="UTF-8" standalone="yes"?>
<Relationships xmlns="http://schemas.openxmlformats.org/package/2006/relationships"><Relationship Id="rId8" Type="http://schemas.openxmlformats.org/officeDocument/2006/relationships/hyperlink" Target="http://pt-intranet.corp.pri:7552/default.aspx" TargetMode="External"/><Relationship Id="rId3" Type="http://schemas.openxmlformats.org/officeDocument/2006/relationships/chart" Target="../charts/chart33.xml"/><Relationship Id="rId7" Type="http://schemas.openxmlformats.org/officeDocument/2006/relationships/hyperlink" Target="http://pt-intranet.corp.pri:7033/EnvironmentCertification/Relatorios/ConsumoAnual.aspx" TargetMode="External"/><Relationship Id="rId2" Type="http://schemas.openxmlformats.org/officeDocument/2006/relationships/chart" Target="../charts/chart32.xml"/><Relationship Id="rId1" Type="http://schemas.openxmlformats.org/officeDocument/2006/relationships/chart" Target="../charts/chart31.xml"/><Relationship Id="rId6" Type="http://schemas.openxmlformats.org/officeDocument/2006/relationships/chart" Target="../charts/chart36.xml"/><Relationship Id="rId5" Type="http://schemas.openxmlformats.org/officeDocument/2006/relationships/chart" Target="../charts/chart35.xml"/><Relationship Id="rId4" Type="http://schemas.openxmlformats.org/officeDocument/2006/relationships/chart" Target="../charts/chart34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7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8.xml"/></Relationships>
</file>

<file path=xl/drawings/_rels/drawing9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9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20</xdr:col>
      <xdr:colOff>15240</xdr:colOff>
      <xdr:row>13</xdr:row>
      <xdr:rowOff>0</xdr:rowOff>
    </xdr:from>
    <xdr:to>
      <xdr:col>33</xdr:col>
      <xdr:colOff>60960</xdr:colOff>
      <xdr:row>28</xdr:row>
      <xdr:rowOff>7620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03CA57-3F1B-ED1E-85DE-7FE738BF319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20</xdr:col>
      <xdr:colOff>15240</xdr:colOff>
      <xdr:row>28</xdr:row>
      <xdr:rowOff>179070</xdr:rowOff>
    </xdr:from>
    <xdr:to>
      <xdr:col>33</xdr:col>
      <xdr:colOff>76200</xdr:colOff>
      <xdr:row>47</xdr:row>
      <xdr:rowOff>7620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D2B39837-C9B7-3B0E-E0BA-3EF68AB292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360136</xdr:colOff>
      <xdr:row>90</xdr:row>
      <xdr:rowOff>17479</xdr:rowOff>
    </xdr:from>
    <xdr:to>
      <xdr:col>9</xdr:col>
      <xdr:colOff>239486</xdr:colOff>
      <xdr:row>103</xdr:row>
      <xdr:rowOff>15784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A17A536-4A97-431B-A1DB-51C1E696433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19048</xdr:colOff>
      <xdr:row>67</xdr:row>
      <xdr:rowOff>261257</xdr:rowOff>
    </xdr:from>
    <xdr:to>
      <xdr:col>27</xdr:col>
      <xdr:colOff>698500</xdr:colOff>
      <xdr:row>78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7FD8107-1978-418B-99EE-DB509B8515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19049</xdr:colOff>
      <xdr:row>78</xdr:row>
      <xdr:rowOff>171450</xdr:rowOff>
    </xdr:from>
    <xdr:to>
      <xdr:col>27</xdr:col>
      <xdr:colOff>752475</xdr:colOff>
      <xdr:row>88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CC7D317-2EC8-41C2-8351-CEF81B1BD3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200026</xdr:colOff>
      <xdr:row>90</xdr:row>
      <xdr:rowOff>6350</xdr:rowOff>
    </xdr:from>
    <xdr:to>
      <xdr:col>22</xdr:col>
      <xdr:colOff>159809</xdr:colOff>
      <xdr:row>102</xdr:row>
      <xdr:rowOff>606425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31569077-F2B1-4B7E-B2F1-F4B01F44D16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137707</xdr:colOff>
      <xdr:row>43</xdr:row>
      <xdr:rowOff>9525</xdr:rowOff>
    </xdr:from>
    <xdr:to>
      <xdr:col>3</xdr:col>
      <xdr:colOff>720426</xdr:colOff>
      <xdr:row>45</xdr:row>
      <xdr:rowOff>1905</xdr:rowOff>
    </xdr:to>
    <xdr:pic>
      <xdr:nvPicPr>
        <xdr:cNvPr id="6" name="Imagem 5" descr="Googl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8C77FE07-7F28-47E9-B152-F25563C2648F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20295" y="7217149"/>
          <a:ext cx="569384" cy="16976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43</xdr:row>
      <xdr:rowOff>19050</xdr:rowOff>
    </xdr:from>
    <xdr:to>
      <xdr:col>8</xdr:col>
      <xdr:colOff>720090</xdr:colOff>
      <xdr:row>45</xdr:row>
      <xdr:rowOff>2801</xdr:rowOff>
    </xdr:to>
    <xdr:pic>
      <xdr:nvPicPr>
        <xdr:cNvPr id="7" name="Imagem 6" descr="Googl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C2E259B-9D9F-4647-BCEF-B005438CED1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10325" y="6096000"/>
          <a:ext cx="571500" cy="193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23231</xdr:colOff>
      <xdr:row>45</xdr:row>
      <xdr:rowOff>21696</xdr:rowOff>
    </xdr:from>
    <xdr:to>
      <xdr:col>3</xdr:col>
      <xdr:colOff>871839</xdr:colOff>
      <xdr:row>46</xdr:row>
      <xdr:rowOff>0</xdr:rowOff>
    </xdr:to>
    <xdr:pic>
      <xdr:nvPicPr>
        <xdr:cNvPr id="10" name="Imagem 9" descr="Tudo sobre Uber - História e Notíci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47AF24E2-D851-4105-B479-61CCD0FF589E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78" t="40889" r="7147" b="41777"/>
        <a:stretch/>
      </xdr:blipFill>
      <xdr:spPr bwMode="auto">
        <a:xfrm>
          <a:off x="1905819" y="7408614"/>
          <a:ext cx="840988" cy="15759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</xdr:colOff>
      <xdr:row>45</xdr:row>
      <xdr:rowOff>26670</xdr:rowOff>
    </xdr:from>
    <xdr:to>
      <xdr:col>8</xdr:col>
      <xdr:colOff>872490</xdr:colOff>
      <xdr:row>45</xdr:row>
      <xdr:rowOff>179324</xdr:rowOff>
    </xdr:to>
    <xdr:pic>
      <xdr:nvPicPr>
        <xdr:cNvPr id="11" name="Imagem 10" descr="Tudo sobre Uber - História e Notícias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5E36E8D5-7CFB-4EA3-8BE6-F10C37152565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889" b="41777"/>
        <a:stretch/>
      </xdr:blipFill>
      <xdr:spPr bwMode="auto">
        <a:xfrm>
          <a:off x="6286500" y="6484620"/>
          <a:ext cx="847725" cy="146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866291</xdr:colOff>
      <xdr:row>2</xdr:row>
      <xdr:rowOff>0</xdr:rowOff>
    </xdr:from>
    <xdr:to>
      <xdr:col>7</xdr:col>
      <xdr:colOff>34501</xdr:colOff>
      <xdr:row>3</xdr:row>
      <xdr:rowOff>72390</xdr:rowOff>
    </xdr:to>
    <xdr:pic>
      <xdr:nvPicPr>
        <xdr:cNvPr id="12" name="Imagem 11" descr="logo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D15EB757-CE15-4A25-AB69-804292E66F7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00066" y="457200"/>
          <a:ext cx="90176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196849</xdr:colOff>
      <xdr:row>18</xdr:row>
      <xdr:rowOff>25401</xdr:rowOff>
    </xdr:from>
    <xdr:to>
      <xdr:col>10</xdr:col>
      <xdr:colOff>264582</xdr:colOff>
      <xdr:row>18</xdr:row>
      <xdr:rowOff>225427</xdr:rowOff>
    </xdr:to>
    <xdr:pic>
      <xdr:nvPicPr>
        <xdr:cNvPr id="13" name="Imagem 12" descr="Reporting System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3CB0BCF0-EF73-4373-9290-F759D242E28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676" b="19675"/>
        <a:stretch/>
      </xdr:blipFill>
      <xdr:spPr bwMode="auto">
        <a:xfrm>
          <a:off x="7283449" y="2768601"/>
          <a:ext cx="944033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58894</xdr:colOff>
      <xdr:row>29</xdr:row>
      <xdr:rowOff>15452</xdr:rowOff>
    </xdr:from>
    <xdr:to>
      <xdr:col>5</xdr:col>
      <xdr:colOff>872117</xdr:colOff>
      <xdr:row>29</xdr:row>
      <xdr:rowOff>155364</xdr:rowOff>
    </xdr:to>
    <xdr:pic>
      <xdr:nvPicPr>
        <xdr:cNvPr id="14" name="Imagem 13" descr="Buzzmonitor - A plataforma mais flexível para Social media e CRM">
          <a:hlinkClick xmlns:r="http://schemas.openxmlformats.org/officeDocument/2006/relationships" r:id="rId15"/>
          <a:extLst>
            <a:ext uri="{FF2B5EF4-FFF2-40B4-BE49-F238E27FC236}">
              <a16:creationId xmlns:a16="http://schemas.microsoft.com/office/drawing/2014/main" id="{B2041D4C-03CF-4696-AC55-6EE8F580A01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23" r="5814" b="20001"/>
        <a:stretch/>
      </xdr:blipFill>
      <xdr:spPr bwMode="auto">
        <a:xfrm>
          <a:off x="3644776" y="4880673"/>
          <a:ext cx="807508" cy="14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20109</xdr:colOff>
      <xdr:row>29</xdr:row>
      <xdr:rowOff>8231</xdr:rowOff>
    </xdr:from>
    <xdr:to>
      <xdr:col>9</xdr:col>
      <xdr:colOff>835237</xdr:colOff>
      <xdr:row>29</xdr:row>
      <xdr:rowOff>155763</xdr:rowOff>
    </xdr:to>
    <xdr:pic>
      <xdr:nvPicPr>
        <xdr:cNvPr id="15" name="Imagem 14" descr="Buzzmonitor - A plataforma mais flexível para Social media e CRM">
          <a:hlinkClick xmlns:r="http://schemas.openxmlformats.org/officeDocument/2006/relationships" r:id="rId17"/>
          <a:extLst>
            <a:ext uri="{FF2B5EF4-FFF2-40B4-BE49-F238E27FC236}">
              <a16:creationId xmlns:a16="http://schemas.microsoft.com/office/drawing/2014/main" id="{A785C785-8959-4195-8263-FE4FAAEC90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23" r="5814" b="20001"/>
        <a:stretch/>
      </xdr:blipFill>
      <xdr:spPr bwMode="auto">
        <a:xfrm>
          <a:off x="7163859" y="4873452"/>
          <a:ext cx="807508" cy="14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241047</xdr:colOff>
      <xdr:row>90</xdr:row>
      <xdr:rowOff>7411</xdr:rowOff>
    </xdr:from>
    <xdr:to>
      <xdr:col>12</xdr:col>
      <xdr:colOff>194978</xdr:colOff>
      <xdr:row>103</xdr:row>
      <xdr:rowOff>34522</xdr:rowOff>
    </xdr:to>
    <xdr:pic>
      <xdr:nvPicPr>
        <xdr:cNvPr id="16" name="Imagem 15" descr="Colaborador (M/F) PART-TIME - McDonald&amp;#39;s Queluz - McDonald&amp;#39;s Queluz -  Ref.7519331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E6C65847-2137-4AAA-8384-3811DF9F3114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595502" y="15305138"/>
          <a:ext cx="2663187" cy="241713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18</xdr:col>
      <xdr:colOff>179693</xdr:colOff>
      <xdr:row>55</xdr:row>
      <xdr:rowOff>19851</xdr:rowOff>
    </xdr:from>
    <xdr:to>
      <xdr:col>29</xdr:col>
      <xdr:colOff>142972</xdr:colOff>
      <xdr:row>66</xdr:row>
      <xdr:rowOff>62033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495D964F-2015-4C87-9294-AC91AAB9895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0"/>
        </a:graphicData>
      </a:graphic>
    </xdr:graphicFrame>
    <xdr:clientData/>
  </xdr:twoCellAnchor>
  <xdr:twoCellAnchor>
    <xdr:from>
      <xdr:col>12</xdr:col>
      <xdr:colOff>7867</xdr:colOff>
      <xdr:row>2</xdr:row>
      <xdr:rowOff>104003</xdr:rowOff>
    </xdr:from>
    <xdr:to>
      <xdr:col>28</xdr:col>
      <xdr:colOff>65315</xdr:colOff>
      <xdr:row>17</xdr:row>
      <xdr:rowOff>82314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DD50256C-98FA-8134-EB94-FBF72E52CAB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1"/>
        </a:graphicData>
      </a:graphic>
    </xdr:graphicFrame>
    <xdr:clientData/>
  </xdr:twoCellAnchor>
  <xdr:twoCellAnchor>
    <xdr:from>
      <xdr:col>17</xdr:col>
      <xdr:colOff>100011</xdr:colOff>
      <xdr:row>103</xdr:row>
      <xdr:rowOff>11544</xdr:rowOff>
    </xdr:from>
    <xdr:to>
      <xdr:col>28</xdr:col>
      <xdr:colOff>147636</xdr:colOff>
      <xdr:row>109</xdr:row>
      <xdr:rowOff>184726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519437FD-CAB8-511D-77D9-67A7C4798ED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2"/>
        </a:graphicData>
      </a:graphic>
    </xdr:graphicFrame>
    <xdr:clientData/>
  </xdr:twoCellAnchor>
  <xdr:twoCellAnchor>
    <xdr:from>
      <xdr:col>17</xdr:col>
      <xdr:colOff>77320</xdr:colOff>
      <xdr:row>113</xdr:row>
      <xdr:rowOff>23090</xdr:rowOff>
    </xdr:from>
    <xdr:to>
      <xdr:col>28</xdr:col>
      <xdr:colOff>161365</xdr:colOff>
      <xdr:row>119</xdr:row>
      <xdr:rowOff>150090</xdr:rowOff>
    </xdr:to>
    <xdr:graphicFrame macro="">
      <xdr:nvGraphicFramePr>
        <xdr:cNvPr id="21" name="Gráfico 20">
          <a:extLst>
            <a:ext uri="{FF2B5EF4-FFF2-40B4-BE49-F238E27FC236}">
              <a16:creationId xmlns:a16="http://schemas.microsoft.com/office/drawing/2014/main" id="{9270B10E-6D01-2450-A859-DFB4E53934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oneCellAnchor>
    <xdr:from>
      <xdr:col>13</xdr:col>
      <xdr:colOff>173566</xdr:colOff>
      <xdr:row>43</xdr:row>
      <xdr:rowOff>9525</xdr:rowOff>
    </xdr:from>
    <xdr:ext cx="569384" cy="193301"/>
    <xdr:pic>
      <xdr:nvPicPr>
        <xdr:cNvPr id="24" name="Imagem 23" descr="Googl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AD29EE48-21E1-42DB-9EF4-25B5784071E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54741" y="6667500"/>
          <a:ext cx="569384" cy="193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23231</xdr:colOff>
      <xdr:row>45</xdr:row>
      <xdr:rowOff>12731</xdr:rowOff>
    </xdr:from>
    <xdr:ext cx="840988" cy="164888"/>
    <xdr:pic>
      <xdr:nvPicPr>
        <xdr:cNvPr id="26" name="Imagem 25" descr="Tudo sobre Uber - História e Notícias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2C3918FA-0FA8-4280-AD02-26D6560E7298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78" t="40889" r="7147" b="41777"/>
        <a:stretch/>
      </xdr:blipFill>
      <xdr:spPr bwMode="auto">
        <a:xfrm>
          <a:off x="1804406" y="7051706"/>
          <a:ext cx="840988" cy="164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twoCellAnchor editAs="oneCell">
    <xdr:from>
      <xdr:col>9</xdr:col>
      <xdr:colOff>196849</xdr:colOff>
      <xdr:row>18</xdr:row>
      <xdr:rowOff>58058</xdr:rowOff>
    </xdr:from>
    <xdr:to>
      <xdr:col>10</xdr:col>
      <xdr:colOff>264582</xdr:colOff>
      <xdr:row>18</xdr:row>
      <xdr:rowOff>258084</xdr:rowOff>
    </xdr:to>
    <xdr:pic>
      <xdr:nvPicPr>
        <xdr:cNvPr id="8" name="Imagem 7" descr="Reporting System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5DEDAE8-287F-05E7-0A80-53624186FD46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4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676" b="19675"/>
        <a:stretch/>
      </xdr:blipFill>
      <xdr:spPr bwMode="auto">
        <a:xfrm>
          <a:off x="7664449" y="3476172"/>
          <a:ext cx="971247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349250</xdr:colOff>
      <xdr:row>85</xdr:row>
      <xdr:rowOff>188384</xdr:rowOff>
    </xdr:from>
    <xdr:to>
      <xdr:col>9</xdr:col>
      <xdr:colOff>228600</xdr:colOff>
      <xdr:row>98</xdr:row>
      <xdr:rowOff>590550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D56B37C-63CC-41F0-8F8B-5BAA92B626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19048</xdr:colOff>
      <xdr:row>64</xdr:row>
      <xdr:rowOff>55032</xdr:rowOff>
    </xdr:from>
    <xdr:to>
      <xdr:col>27</xdr:col>
      <xdr:colOff>698500</xdr:colOff>
      <xdr:row>74</xdr:row>
      <xdr:rowOff>28574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A3A44400-E77C-4FC8-8BB7-6079A7F916D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19049</xdr:colOff>
      <xdr:row>74</xdr:row>
      <xdr:rowOff>171450</xdr:rowOff>
    </xdr:from>
    <xdr:to>
      <xdr:col>27</xdr:col>
      <xdr:colOff>752475</xdr:colOff>
      <xdr:row>84</xdr:row>
      <xdr:rowOff>180975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DD93645-7495-4DA4-88B7-FF697BA4554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12</xdr:col>
      <xdr:colOff>200026</xdr:colOff>
      <xdr:row>86</xdr:row>
      <xdr:rowOff>6350</xdr:rowOff>
    </xdr:from>
    <xdr:to>
      <xdr:col>22</xdr:col>
      <xdr:colOff>159809</xdr:colOff>
      <xdr:row>98</xdr:row>
      <xdr:rowOff>606425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5953142A-D0D3-402F-88FE-0CFB414C59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 editAs="oneCell">
    <xdr:from>
      <xdr:col>3</xdr:col>
      <xdr:colOff>173566</xdr:colOff>
      <xdr:row>39</xdr:row>
      <xdr:rowOff>9525</xdr:rowOff>
    </xdr:from>
    <xdr:to>
      <xdr:col>3</xdr:col>
      <xdr:colOff>742950</xdr:colOff>
      <xdr:row>40</xdr:row>
      <xdr:rowOff>0</xdr:rowOff>
    </xdr:to>
    <xdr:pic>
      <xdr:nvPicPr>
        <xdr:cNvPr id="6" name="Imagem 5" descr="Googl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D4D717F7-2948-457F-8936-45DA9CA40D8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2366" y="7629525"/>
          <a:ext cx="569384" cy="18097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142875</xdr:colOff>
      <xdr:row>39</xdr:row>
      <xdr:rowOff>19050</xdr:rowOff>
    </xdr:from>
    <xdr:to>
      <xdr:col>8</xdr:col>
      <xdr:colOff>714375</xdr:colOff>
      <xdr:row>40</xdr:row>
      <xdr:rowOff>0</xdr:rowOff>
    </xdr:to>
    <xdr:pic>
      <xdr:nvPicPr>
        <xdr:cNvPr id="7" name="Imagem 6" descr="Google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8C0E2B18-4441-458C-B511-0C1D53881D1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400800" y="7639050"/>
          <a:ext cx="571500" cy="193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116416</xdr:colOff>
      <xdr:row>40</xdr:row>
      <xdr:rowOff>47625</xdr:rowOff>
    </xdr:from>
    <xdr:to>
      <xdr:col>3</xdr:col>
      <xdr:colOff>828675</xdr:colOff>
      <xdr:row>40</xdr:row>
      <xdr:rowOff>0</xdr:rowOff>
    </xdr:to>
    <xdr:pic>
      <xdr:nvPicPr>
        <xdr:cNvPr id="8" name="Imagem 7" descr="Zomato Logo | Significado, História e 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FD9401B-2274-4104-AA49-00B400C5C232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26" b="19354"/>
        <a:stretch/>
      </xdr:blipFill>
      <xdr:spPr bwMode="auto">
        <a:xfrm>
          <a:off x="1945216" y="7810500"/>
          <a:ext cx="712259" cy="123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47625</xdr:colOff>
      <xdr:row>40</xdr:row>
      <xdr:rowOff>28575</xdr:rowOff>
    </xdr:from>
    <xdr:to>
      <xdr:col>8</xdr:col>
      <xdr:colOff>762000</xdr:colOff>
      <xdr:row>40</xdr:row>
      <xdr:rowOff>0</xdr:rowOff>
    </xdr:to>
    <xdr:pic>
      <xdr:nvPicPr>
        <xdr:cNvPr id="9" name="Imagem 8" descr="Zomato Logo | Significado, História e PNG">
          <a:hlinkClick xmlns:r="http://schemas.openxmlformats.org/officeDocument/2006/relationships" r:id="rId10"/>
          <a:extLst>
            <a:ext uri="{FF2B5EF4-FFF2-40B4-BE49-F238E27FC236}">
              <a16:creationId xmlns:a16="http://schemas.microsoft.com/office/drawing/2014/main" id="{BBB4B840-20F0-448D-A5DE-528403181990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26" b="19354"/>
        <a:stretch/>
      </xdr:blipFill>
      <xdr:spPr bwMode="auto">
        <a:xfrm>
          <a:off x="6305550" y="7810500"/>
          <a:ext cx="714375" cy="123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3</xdr:col>
      <xdr:colOff>23231</xdr:colOff>
      <xdr:row>41</xdr:row>
      <xdr:rowOff>12731</xdr:rowOff>
    </xdr:from>
    <xdr:to>
      <xdr:col>3</xdr:col>
      <xdr:colOff>864219</xdr:colOff>
      <xdr:row>41</xdr:row>
      <xdr:rowOff>177619</xdr:rowOff>
    </xdr:to>
    <xdr:pic>
      <xdr:nvPicPr>
        <xdr:cNvPr id="10" name="Imagem 9" descr="Tudo sobre Uber - História e Notícia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79E0E292-58A1-4A6C-90EF-5EDE631FAAD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78" t="40889" r="7147" b="41777"/>
        <a:stretch/>
      </xdr:blipFill>
      <xdr:spPr bwMode="auto">
        <a:xfrm>
          <a:off x="1852031" y="7823231"/>
          <a:ext cx="840988" cy="164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8</xdr:col>
      <xdr:colOff>19050</xdr:colOff>
      <xdr:row>41</xdr:row>
      <xdr:rowOff>26670</xdr:rowOff>
    </xdr:from>
    <xdr:to>
      <xdr:col>8</xdr:col>
      <xdr:colOff>866775</xdr:colOff>
      <xdr:row>41</xdr:row>
      <xdr:rowOff>173609</xdr:rowOff>
    </xdr:to>
    <xdr:pic>
      <xdr:nvPicPr>
        <xdr:cNvPr id="11" name="Imagem 10" descr="Tudo sobre Uber - História e Notícias">
          <a:hlinkClick xmlns:r="http://schemas.openxmlformats.org/officeDocument/2006/relationships" r:id="rId13"/>
          <a:extLst>
            <a:ext uri="{FF2B5EF4-FFF2-40B4-BE49-F238E27FC236}">
              <a16:creationId xmlns:a16="http://schemas.microsoft.com/office/drawing/2014/main" id="{76973674-BF2C-4CCE-90DA-CB53F79CBE4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40889" b="41777"/>
        <a:stretch/>
      </xdr:blipFill>
      <xdr:spPr bwMode="auto">
        <a:xfrm>
          <a:off x="6276975" y="7837170"/>
          <a:ext cx="847725" cy="14693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866291</xdr:colOff>
      <xdr:row>2</xdr:row>
      <xdr:rowOff>0</xdr:rowOff>
    </xdr:from>
    <xdr:to>
      <xdr:col>7</xdr:col>
      <xdr:colOff>15451</xdr:colOff>
      <xdr:row>3</xdr:row>
      <xdr:rowOff>57150</xdr:rowOff>
    </xdr:to>
    <xdr:pic>
      <xdr:nvPicPr>
        <xdr:cNvPr id="12" name="Imagem 11" descr="logo">
          <a:hlinkClick xmlns:r="http://schemas.openxmlformats.org/officeDocument/2006/relationships" r:id="rId14"/>
          <a:extLst>
            <a:ext uri="{FF2B5EF4-FFF2-40B4-BE49-F238E27FC236}">
              <a16:creationId xmlns:a16="http://schemas.microsoft.com/office/drawing/2014/main" id="{2EF0C5D8-11B3-46FB-816C-88985459695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447691" y="457200"/>
          <a:ext cx="901760" cy="24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196849</xdr:colOff>
      <xdr:row>14</xdr:row>
      <xdr:rowOff>25401</xdr:rowOff>
    </xdr:from>
    <xdr:to>
      <xdr:col>10</xdr:col>
      <xdr:colOff>264582</xdr:colOff>
      <xdr:row>15</xdr:row>
      <xdr:rowOff>34927</xdr:rowOff>
    </xdr:to>
    <xdr:pic>
      <xdr:nvPicPr>
        <xdr:cNvPr id="13" name="Imagem 12" descr="Reporting System">
          <a:hlinkClick xmlns:r="http://schemas.openxmlformats.org/officeDocument/2006/relationships" r:id="rId16"/>
          <a:extLst>
            <a:ext uri="{FF2B5EF4-FFF2-40B4-BE49-F238E27FC236}">
              <a16:creationId xmlns:a16="http://schemas.microsoft.com/office/drawing/2014/main" id="{C2EF73B1-500C-4431-8D13-20AF7A3AD05D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7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676" b="19675"/>
        <a:stretch/>
      </xdr:blipFill>
      <xdr:spPr bwMode="auto">
        <a:xfrm>
          <a:off x="7331074" y="2768601"/>
          <a:ext cx="944033" cy="2000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5</xdr:col>
      <xdr:colOff>58894</xdr:colOff>
      <xdr:row>25</xdr:row>
      <xdr:rowOff>15452</xdr:rowOff>
    </xdr:from>
    <xdr:to>
      <xdr:col>5</xdr:col>
      <xdr:colOff>866402</xdr:colOff>
      <xdr:row>25</xdr:row>
      <xdr:rowOff>162984</xdr:rowOff>
    </xdr:to>
    <xdr:pic>
      <xdr:nvPicPr>
        <xdr:cNvPr id="14" name="Imagem 13" descr="Buzzmonitor - A plataforma mais flexível para Social media e CRM">
          <a:hlinkClick xmlns:r="http://schemas.openxmlformats.org/officeDocument/2006/relationships" r:id="rId18"/>
          <a:extLst>
            <a:ext uri="{FF2B5EF4-FFF2-40B4-BE49-F238E27FC236}">
              <a16:creationId xmlns:a16="http://schemas.microsoft.com/office/drawing/2014/main" id="{971DA706-36BC-4FDF-9CC4-35518AB85E8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23" r="5814" b="20001"/>
        <a:stretch/>
      </xdr:blipFill>
      <xdr:spPr bwMode="auto">
        <a:xfrm>
          <a:off x="3640294" y="4958927"/>
          <a:ext cx="807508" cy="14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20109</xdr:colOff>
      <xdr:row>25</xdr:row>
      <xdr:rowOff>8231</xdr:rowOff>
    </xdr:from>
    <xdr:to>
      <xdr:col>9</xdr:col>
      <xdr:colOff>827617</xdr:colOff>
      <xdr:row>25</xdr:row>
      <xdr:rowOff>155763</xdr:rowOff>
    </xdr:to>
    <xdr:pic>
      <xdr:nvPicPr>
        <xdr:cNvPr id="15" name="Imagem 14" descr="Buzzmonitor - A plataforma mais flexível para Social media e CRM">
          <a:hlinkClick xmlns:r="http://schemas.openxmlformats.org/officeDocument/2006/relationships" r:id="rId20"/>
          <a:extLst>
            <a:ext uri="{FF2B5EF4-FFF2-40B4-BE49-F238E27FC236}">
              <a16:creationId xmlns:a16="http://schemas.microsoft.com/office/drawing/2014/main" id="{13210206-416C-47EA-9B87-010F97B34F3F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6923" r="5814" b="20001"/>
        <a:stretch/>
      </xdr:blipFill>
      <xdr:spPr bwMode="auto">
        <a:xfrm>
          <a:off x="7154334" y="4951706"/>
          <a:ext cx="807508" cy="147532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9</xdr:col>
      <xdr:colOff>241047</xdr:colOff>
      <xdr:row>86</xdr:row>
      <xdr:rowOff>7410</xdr:rowOff>
    </xdr:from>
    <xdr:to>
      <xdr:col>12</xdr:col>
      <xdr:colOff>202598</xdr:colOff>
      <xdr:row>100</xdr:row>
      <xdr:rowOff>150495</xdr:rowOff>
    </xdr:to>
    <xdr:pic>
      <xdr:nvPicPr>
        <xdr:cNvPr id="16" name="Imagem 15" descr="Colaborador (M/F) PART-TIME - McDonald&amp;#39;s Queluz - McDonald&amp;#39;s Queluz -  Ref.7519331">
          <a:hlinkClick xmlns:r="http://schemas.openxmlformats.org/officeDocument/2006/relationships" r:id="rId21"/>
          <a:extLst>
            <a:ext uri="{FF2B5EF4-FFF2-40B4-BE49-F238E27FC236}">
              <a16:creationId xmlns:a16="http://schemas.microsoft.com/office/drawing/2014/main" id="{19F3F5F7-B324-49F7-83B8-6894F486BDA2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2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7375272" y="15733185"/>
          <a:ext cx="2590451" cy="287866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16</xdr:col>
      <xdr:colOff>28573</xdr:colOff>
      <xdr:row>50</xdr:row>
      <xdr:rowOff>152400</xdr:rowOff>
    </xdr:from>
    <xdr:to>
      <xdr:col>26</xdr:col>
      <xdr:colOff>715433</xdr:colOff>
      <xdr:row>62</xdr:row>
      <xdr:rowOff>9525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766F92E8-9487-4CC1-AE05-070EC8F6DB9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3"/>
        </a:graphicData>
      </a:graphic>
    </xdr:graphicFrame>
    <xdr:clientData/>
  </xdr:twoCellAnchor>
  <xdr:twoCellAnchor>
    <xdr:from>
      <xdr:col>12</xdr:col>
      <xdr:colOff>8466</xdr:colOff>
      <xdr:row>2</xdr:row>
      <xdr:rowOff>10771</xdr:rowOff>
    </xdr:from>
    <xdr:to>
      <xdr:col>27</xdr:col>
      <xdr:colOff>47623</xdr:colOff>
      <xdr:row>13</xdr:row>
      <xdr:rowOff>169521</xdr:rowOff>
    </xdr:to>
    <xdr:graphicFrame macro="">
      <xdr:nvGraphicFramePr>
        <xdr:cNvPr id="18" name="Gráfico 17">
          <a:extLst>
            <a:ext uri="{FF2B5EF4-FFF2-40B4-BE49-F238E27FC236}">
              <a16:creationId xmlns:a16="http://schemas.microsoft.com/office/drawing/2014/main" id="{CD4E65EF-A57E-4338-8AAF-8B1249B5CF0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4"/>
        </a:graphicData>
      </a:graphic>
    </xdr:graphicFrame>
    <xdr:clientData/>
  </xdr:twoCellAnchor>
  <xdr:twoCellAnchor>
    <xdr:from>
      <xdr:col>17</xdr:col>
      <xdr:colOff>100011</xdr:colOff>
      <xdr:row>98</xdr:row>
      <xdr:rowOff>692943</xdr:rowOff>
    </xdr:from>
    <xdr:to>
      <xdr:col>28</xdr:col>
      <xdr:colOff>147636</xdr:colOff>
      <xdr:row>108</xdr:row>
      <xdr:rowOff>47625</xdr:rowOff>
    </xdr:to>
    <xdr:graphicFrame macro="">
      <xdr:nvGraphicFramePr>
        <xdr:cNvPr id="19" name="Gráfico 18">
          <a:extLst>
            <a:ext uri="{FF2B5EF4-FFF2-40B4-BE49-F238E27FC236}">
              <a16:creationId xmlns:a16="http://schemas.microsoft.com/office/drawing/2014/main" id="{9FAA931F-DC83-4B1B-984B-D559E156A9C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5"/>
        </a:graphicData>
      </a:graphic>
    </xdr:graphicFrame>
    <xdr:clientData/>
  </xdr:twoCellAnchor>
  <xdr:twoCellAnchor>
    <xdr:from>
      <xdr:col>17</xdr:col>
      <xdr:colOff>95249</xdr:colOff>
      <xdr:row>109</xdr:row>
      <xdr:rowOff>23812</xdr:rowOff>
    </xdr:from>
    <xdr:to>
      <xdr:col>28</xdr:col>
      <xdr:colOff>219074</xdr:colOff>
      <xdr:row>118</xdr:row>
      <xdr:rowOff>76200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9AF92D6B-89DD-4548-BCFA-6E7E75455A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6"/>
        </a:graphicData>
      </a:graphic>
    </xdr:graphicFrame>
    <xdr:clientData/>
  </xdr:twoCellAnchor>
  <xdr:oneCellAnchor>
    <xdr:from>
      <xdr:col>13</xdr:col>
      <xdr:colOff>173566</xdr:colOff>
      <xdr:row>39</xdr:row>
      <xdr:rowOff>9525</xdr:rowOff>
    </xdr:from>
    <xdr:ext cx="569384" cy="193301"/>
    <xdr:pic>
      <xdr:nvPicPr>
        <xdr:cNvPr id="21" name="Imagem 20" descr="Google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690D4C2D-5480-47AB-AC05-F00D03C3951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927291" y="7629525"/>
          <a:ext cx="569384" cy="193301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116416</xdr:colOff>
      <xdr:row>40</xdr:row>
      <xdr:rowOff>47625</xdr:rowOff>
    </xdr:from>
    <xdr:ext cx="712259" cy="123826"/>
    <xdr:pic>
      <xdr:nvPicPr>
        <xdr:cNvPr id="22" name="Imagem 21" descr="Zomato Logo | Significado, História e PNG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B8DB839D-0C46-4F58-B295-1E134A43B41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28226" b="19354"/>
        <a:stretch/>
      </xdr:blipFill>
      <xdr:spPr bwMode="auto">
        <a:xfrm>
          <a:off x="10870141" y="7810500"/>
          <a:ext cx="712259" cy="123826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  <xdr:oneCellAnchor>
    <xdr:from>
      <xdr:col>13</xdr:col>
      <xdr:colOff>23231</xdr:colOff>
      <xdr:row>41</xdr:row>
      <xdr:rowOff>12731</xdr:rowOff>
    </xdr:from>
    <xdr:ext cx="840988" cy="164888"/>
    <xdr:pic>
      <xdr:nvPicPr>
        <xdr:cNvPr id="23" name="Imagem 22" descr="Tudo sobre Uber - História e Notícias">
          <a:hlinkClick xmlns:r="http://schemas.openxmlformats.org/officeDocument/2006/relationships" r:id="rId11"/>
          <a:extLst>
            <a:ext uri="{FF2B5EF4-FFF2-40B4-BE49-F238E27FC236}">
              <a16:creationId xmlns:a16="http://schemas.microsoft.com/office/drawing/2014/main" id="{9DD755BB-B40E-4D0D-BFCD-F0D96820AFF4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4078" t="40889" r="7147" b="41777"/>
        <a:stretch/>
      </xdr:blipFill>
      <xdr:spPr bwMode="auto">
        <a:xfrm>
          <a:off x="10776956" y="7823231"/>
          <a:ext cx="840988" cy="164888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601980</xdr:colOff>
      <xdr:row>1</xdr:row>
      <xdr:rowOff>259080</xdr:rowOff>
    </xdr:from>
    <xdr:to>
      <xdr:col>17</xdr:col>
      <xdr:colOff>13813</xdr:colOff>
      <xdr:row>28</xdr:row>
      <xdr:rowOff>24931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5FEEC0C-5E46-4F6A-9CDE-E9CCAAC71DE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4</xdr:col>
      <xdr:colOff>126236</xdr:colOff>
      <xdr:row>71</xdr:row>
      <xdr:rowOff>0</xdr:rowOff>
    </xdr:from>
    <xdr:to>
      <xdr:col>17</xdr:col>
      <xdr:colOff>57150</xdr:colOff>
      <xdr:row>86</xdr:row>
      <xdr:rowOff>22951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3286AB3-61C1-4180-9298-28CE35980E1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13</xdr:col>
      <xdr:colOff>942975</xdr:colOff>
      <xdr:row>89</xdr:row>
      <xdr:rowOff>19049</xdr:rowOff>
    </xdr:from>
    <xdr:to>
      <xdr:col>24</xdr:col>
      <xdr:colOff>600075</xdr:colOff>
      <xdr:row>104</xdr:row>
      <xdr:rowOff>1904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7CC342E5-5407-4755-A973-C6CECD22EAC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6</xdr:col>
      <xdr:colOff>123825</xdr:colOff>
      <xdr:row>31</xdr:row>
      <xdr:rowOff>185736</xdr:rowOff>
    </xdr:from>
    <xdr:to>
      <xdr:col>11</xdr:col>
      <xdr:colOff>752475</xdr:colOff>
      <xdr:row>49</xdr:row>
      <xdr:rowOff>180975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BD96B3B6-6834-4D98-88D8-DBFF62429C3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6</xdr:col>
      <xdr:colOff>114300</xdr:colOff>
      <xdr:row>50</xdr:row>
      <xdr:rowOff>180976</xdr:rowOff>
    </xdr:from>
    <xdr:to>
      <xdr:col>11</xdr:col>
      <xdr:colOff>742950</xdr:colOff>
      <xdr:row>68</xdr:row>
      <xdr:rowOff>4764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4D122FB-84C5-48D5-8645-92ACD3D4F00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</xdr:col>
      <xdr:colOff>66675</xdr:colOff>
      <xdr:row>87</xdr:row>
      <xdr:rowOff>28575</xdr:rowOff>
    </xdr:from>
    <xdr:to>
      <xdr:col>2</xdr:col>
      <xdr:colOff>781050</xdr:colOff>
      <xdr:row>87</xdr:row>
      <xdr:rowOff>228600</xdr:rowOff>
    </xdr:to>
    <xdr:sp macro="" textlink="">
      <xdr:nvSpPr>
        <xdr:cNvPr id="7" name="Retângulo: Cantos Arredondados 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AA6E8EC-087F-429E-9AD4-0C90ADB0ADD4}"/>
            </a:ext>
          </a:extLst>
        </xdr:cNvPr>
        <xdr:cNvSpPr/>
      </xdr:nvSpPr>
      <xdr:spPr>
        <a:xfrm>
          <a:off x="1847850" y="16992600"/>
          <a:ext cx="714375" cy="200025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2</xdr:col>
      <xdr:colOff>47625</xdr:colOff>
      <xdr:row>69</xdr:row>
      <xdr:rowOff>28575</xdr:rowOff>
    </xdr:from>
    <xdr:to>
      <xdr:col>2</xdr:col>
      <xdr:colOff>762000</xdr:colOff>
      <xdr:row>69</xdr:row>
      <xdr:rowOff>228600</xdr:rowOff>
    </xdr:to>
    <xdr:sp macro="" textlink="">
      <xdr:nvSpPr>
        <xdr:cNvPr id="9" name="Retângulo: Cantos Arredondados 8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98FFE5D-4059-475B-AEE2-DB40C6995456}"/>
            </a:ext>
          </a:extLst>
        </xdr:cNvPr>
        <xdr:cNvSpPr/>
      </xdr:nvSpPr>
      <xdr:spPr>
        <a:xfrm>
          <a:off x="1828800" y="13687425"/>
          <a:ext cx="714375" cy="200025"/>
        </a:xfrm>
        <a:prstGeom prst="roundRect">
          <a:avLst/>
        </a:prstGeom>
      </xdr:spPr>
      <xdr:style>
        <a:lnRef idx="1">
          <a:schemeClr val="accent6"/>
        </a:lnRef>
        <a:fillRef idx="3">
          <a:schemeClr val="accent6"/>
        </a:fillRef>
        <a:effectRef idx="2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3175</xdr:colOff>
      <xdr:row>16</xdr:row>
      <xdr:rowOff>10079</xdr:rowOff>
    </xdr:from>
    <xdr:to>
      <xdr:col>8</xdr:col>
      <xdr:colOff>20160</xdr:colOff>
      <xdr:row>28</xdr:row>
      <xdr:rowOff>136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F0B6B14-C8EC-4B92-948E-960E4CB2A7F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21972</xdr:colOff>
      <xdr:row>16</xdr:row>
      <xdr:rowOff>8971</xdr:rowOff>
    </xdr:from>
    <xdr:to>
      <xdr:col>15</xdr:col>
      <xdr:colOff>35938</xdr:colOff>
      <xdr:row>28</xdr:row>
      <xdr:rowOff>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0847906-3432-4182-B70B-E3068BB6C99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16</xdr:col>
      <xdr:colOff>7620</xdr:colOff>
      <xdr:row>0</xdr:row>
      <xdr:rowOff>155302</xdr:rowOff>
    </xdr:from>
    <xdr:to>
      <xdr:col>26</xdr:col>
      <xdr:colOff>28785</xdr:colOff>
      <xdr:row>27</xdr:row>
      <xdr:rowOff>156109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8F1AF454-642C-4166-B0CC-770E318A474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266700</xdr:colOff>
      <xdr:row>147</xdr:row>
      <xdr:rowOff>150316</xdr:rowOff>
    </xdr:from>
    <xdr:to>
      <xdr:col>32</xdr:col>
      <xdr:colOff>161925</xdr:colOff>
      <xdr:row>184</xdr:row>
      <xdr:rowOff>19050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5EDE5CB4-BC9C-4DE2-88DF-51086DBA415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20</xdr:col>
      <xdr:colOff>247650</xdr:colOff>
      <xdr:row>31</xdr:row>
      <xdr:rowOff>163</xdr:rowOff>
    </xdr:from>
    <xdr:to>
      <xdr:col>32</xdr:col>
      <xdr:colOff>62278</xdr:colOff>
      <xdr:row>67</xdr:row>
      <xdr:rowOff>0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598F36D8-B014-46C7-B69A-FD4491E9E6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244474</xdr:colOff>
      <xdr:row>71</xdr:row>
      <xdr:rowOff>9686</xdr:rowOff>
    </xdr:from>
    <xdr:to>
      <xdr:col>32</xdr:col>
      <xdr:colOff>152400</xdr:colOff>
      <xdr:row>108</xdr:row>
      <xdr:rowOff>180975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F570D783-F991-406B-8BFC-1D0B1754AD7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257175</xdr:colOff>
      <xdr:row>110</xdr:row>
      <xdr:rowOff>152400</xdr:rowOff>
    </xdr:from>
    <xdr:to>
      <xdr:col>32</xdr:col>
      <xdr:colOff>133350</xdr:colOff>
      <xdr:row>145</xdr:row>
      <xdr:rowOff>190499</xdr:rowOff>
    </xdr:to>
    <xdr:graphicFrame macro="">
      <xdr:nvGraphicFramePr>
        <xdr:cNvPr id="9" name="Gráfico 8">
          <a:extLst>
            <a:ext uri="{FF2B5EF4-FFF2-40B4-BE49-F238E27FC236}">
              <a16:creationId xmlns:a16="http://schemas.microsoft.com/office/drawing/2014/main" id="{337E3588-8047-46DA-A7D8-9AEE50CD7F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410825</xdr:colOff>
      <xdr:row>11</xdr:row>
      <xdr:rowOff>181168</xdr:rowOff>
    </xdr:from>
    <xdr:to>
      <xdr:col>18</xdr:col>
      <xdr:colOff>721592</xdr:colOff>
      <xdr:row>28</xdr:row>
      <xdr:rowOff>106122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BB164AB-6467-47DE-BC87-C605B17E3C3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599689</xdr:colOff>
      <xdr:row>39</xdr:row>
      <xdr:rowOff>25592</xdr:rowOff>
    </xdr:from>
    <xdr:to>
      <xdr:col>5</xdr:col>
      <xdr:colOff>28864</xdr:colOff>
      <xdr:row>54</xdr:row>
      <xdr:rowOff>191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2A483025-3252-4A2F-A962-4103EE0D94F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5</xdr:col>
      <xdr:colOff>304609</xdr:colOff>
      <xdr:row>39</xdr:row>
      <xdr:rowOff>25593</xdr:rowOff>
    </xdr:from>
    <xdr:to>
      <xdr:col>9</xdr:col>
      <xdr:colOff>355984</xdr:colOff>
      <xdr:row>54</xdr:row>
      <xdr:rowOff>193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53CC693-C918-4D2D-8FBF-0C0ECA3C0A0D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581795</xdr:colOff>
      <xdr:row>181</xdr:row>
      <xdr:rowOff>9621</xdr:rowOff>
    </xdr:from>
    <xdr:to>
      <xdr:col>18</xdr:col>
      <xdr:colOff>817804</xdr:colOff>
      <xdr:row>195</xdr:row>
      <xdr:rowOff>67349</xdr:rowOff>
    </xdr:to>
    <xdr:graphicFrame macro="">
      <xdr:nvGraphicFramePr>
        <xdr:cNvPr id="5" name="Gráfico 4">
          <a:extLst>
            <a:ext uri="{FF2B5EF4-FFF2-40B4-BE49-F238E27FC236}">
              <a16:creationId xmlns:a16="http://schemas.microsoft.com/office/drawing/2014/main" id="{CC28D8B0-D819-4020-B7F6-B191205D72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9</xdr:col>
      <xdr:colOff>657608</xdr:colOff>
      <xdr:row>39</xdr:row>
      <xdr:rowOff>28960</xdr:rowOff>
    </xdr:from>
    <xdr:to>
      <xdr:col>19</xdr:col>
      <xdr:colOff>57247</xdr:colOff>
      <xdr:row>54</xdr:row>
      <xdr:rowOff>96</xdr:rowOff>
    </xdr:to>
    <xdr:graphicFrame macro="">
      <xdr:nvGraphicFramePr>
        <xdr:cNvPr id="6" name="Gráfico 5">
          <a:extLst>
            <a:ext uri="{FF2B5EF4-FFF2-40B4-BE49-F238E27FC236}">
              <a16:creationId xmlns:a16="http://schemas.microsoft.com/office/drawing/2014/main" id="{92134401-E1E7-4C0B-9D6A-11B8116835F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86</xdr:row>
      <xdr:rowOff>9525</xdr:rowOff>
    </xdr:from>
    <xdr:to>
      <xdr:col>20</xdr:col>
      <xdr:colOff>38485</xdr:colOff>
      <xdr:row>111</xdr:row>
      <xdr:rowOff>1827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5121D41-34D3-4A90-8492-34B53917ED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</xdr:col>
      <xdr:colOff>266700</xdr:colOff>
      <xdr:row>30</xdr:row>
      <xdr:rowOff>9525</xdr:rowOff>
    </xdr:from>
    <xdr:to>
      <xdr:col>3</xdr:col>
      <xdr:colOff>962025</xdr:colOff>
      <xdr:row>31</xdr:row>
      <xdr:rowOff>0</xdr:rowOff>
    </xdr:to>
    <xdr:sp macro="" textlink="">
      <xdr:nvSpPr>
        <xdr:cNvPr id="8" name="Retângulo: Cantos Arredondados 7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5D5F0270-56E8-0DDF-2B65-C5990C5E2E88}"/>
            </a:ext>
          </a:extLst>
        </xdr:cNvPr>
        <xdr:cNvSpPr/>
      </xdr:nvSpPr>
      <xdr:spPr>
        <a:xfrm>
          <a:off x="3124200" y="5800725"/>
          <a:ext cx="695325" cy="18097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  <xdr:twoCellAnchor>
    <xdr:from>
      <xdr:col>3</xdr:col>
      <xdr:colOff>142876</xdr:colOff>
      <xdr:row>164</xdr:row>
      <xdr:rowOff>0</xdr:rowOff>
    </xdr:from>
    <xdr:to>
      <xdr:col>3</xdr:col>
      <xdr:colOff>857250</xdr:colOff>
      <xdr:row>164</xdr:row>
      <xdr:rowOff>257175</xdr:rowOff>
    </xdr:to>
    <xdr:sp macro="" textlink="">
      <xdr:nvSpPr>
        <xdr:cNvPr id="12" name="Retângulo: Cantos Arredondados 11">
          <a:hlinkClick xmlns:r="http://schemas.openxmlformats.org/officeDocument/2006/relationships" r:id="rId8"/>
          <a:extLst>
            <a:ext uri="{FF2B5EF4-FFF2-40B4-BE49-F238E27FC236}">
              <a16:creationId xmlns:a16="http://schemas.microsoft.com/office/drawing/2014/main" id="{3F719A7F-38D8-4180-9CA8-02F97D633878}"/>
            </a:ext>
          </a:extLst>
        </xdr:cNvPr>
        <xdr:cNvSpPr/>
      </xdr:nvSpPr>
      <xdr:spPr>
        <a:xfrm>
          <a:off x="3000376" y="30927675"/>
          <a:ext cx="714374" cy="257175"/>
        </a:xfrm>
        <a:prstGeom prst="roundRect">
          <a:avLst/>
        </a:prstGeom>
        <a:solidFill>
          <a:schemeClr val="accent6">
            <a:lumMod val="40000"/>
            <a:lumOff val="60000"/>
          </a:schemeClr>
        </a:solidFill>
      </xdr:spPr>
      <xdr:style>
        <a:lnRef idx="1">
          <a:schemeClr val="accent6"/>
        </a:lnRef>
        <a:fillRef idx="2">
          <a:schemeClr val="accent6"/>
        </a:fillRef>
        <a:effectRef idx="1">
          <a:schemeClr val="accent6"/>
        </a:effectRef>
        <a:fontRef idx="minor">
          <a:schemeClr val="dk1"/>
        </a:fontRef>
      </xdr:style>
      <xdr:txBody>
        <a:bodyPr vertOverflow="clip" horzOverflow="clip" rtlCol="0" anchor="t"/>
        <a:lstStyle/>
        <a:p>
          <a:pPr algn="l"/>
          <a:endParaRPr lang="pt-PT" sz="1100"/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8466</xdr:colOff>
      <xdr:row>36</xdr:row>
      <xdr:rowOff>8467</xdr:rowOff>
    </xdr:from>
    <xdr:to>
      <xdr:col>14</xdr:col>
      <xdr:colOff>8466</xdr:colOff>
      <xdr:row>51</xdr:row>
      <xdr:rowOff>12277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B897128-CF46-CF1A-C66B-5F980ACF19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34</xdr:row>
      <xdr:rowOff>7620</xdr:rowOff>
    </xdr:from>
    <xdr:to>
      <xdr:col>14</xdr:col>
      <xdr:colOff>0</xdr:colOff>
      <xdr:row>50</xdr:row>
      <xdr:rowOff>80010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2D2C332F-7393-0961-5D17-31D4A4D6F1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20</xdr:col>
      <xdr:colOff>30480</xdr:colOff>
      <xdr:row>25</xdr:row>
      <xdr:rowOff>121920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D1AAFDF-6CC8-1CAA-C933-DECD983D7FC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told\Dropbox\2023\Avalia&#231;&#245;es\BSV%202023.xlsm" TargetMode="External"/><Relationship Id="rId1" Type="http://schemas.openxmlformats.org/officeDocument/2006/relationships/externalLinkPath" Target="/Users/ctold/Dropbox/2023/Avalia&#231;&#245;es/BSV%202023.xlsm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told\Dropbox\2024\Ferramentas%20novas\Informa&#231;&#245;es%20de%20turno%20Amadora.xlsx" TargetMode="External"/><Relationship Id="rId1" Type="http://schemas.openxmlformats.org/officeDocument/2006/relationships/externalLinkPath" Target="/Users/ctold/Dropbox/2024/Ferramentas%20novas/Informa&#231;&#245;es%20de%20turno%20Amador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Gráficos"/>
      <sheetName val="Original"/>
      <sheetName val="20"/>
      <sheetName val="32"/>
      <sheetName val="1"/>
      <sheetName val="2"/>
      <sheetName val="3"/>
      <sheetName val="4"/>
      <sheetName val="5"/>
      <sheetName val="6"/>
      <sheetName val="7"/>
      <sheetName val="8"/>
      <sheetName val="9"/>
      <sheetName val="10"/>
      <sheetName val="11"/>
      <sheetName val="80"/>
      <sheetName val="92"/>
    </sheetNames>
    <sheetDataSet>
      <sheetData sheetId="0"/>
      <sheetData sheetId="1">
        <row r="2">
          <cell r="A2" t="str">
            <v>Limpeza e Higienização</v>
          </cell>
        </row>
        <row r="3">
          <cell r="A3" t="str">
            <v>Prevenção e Contaminação</v>
          </cell>
        </row>
        <row r="4">
          <cell r="A4" t="str">
            <v>Armazenamento</v>
          </cell>
        </row>
        <row r="5">
          <cell r="A5" t="str">
            <v>Confeção</v>
          </cell>
        </row>
        <row r="6">
          <cell r="A6" t="str">
            <v>Geral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Instruções"/>
      <sheetName val="Jan"/>
      <sheetName val="Fev"/>
      <sheetName val="Mar"/>
      <sheetName val="Abr"/>
      <sheetName val="Mai"/>
      <sheetName val="Jun"/>
      <sheetName val="Jul"/>
      <sheetName val="Ago"/>
      <sheetName val="Set"/>
      <sheetName val="Out"/>
      <sheetName val="Nov"/>
      <sheetName val="Dez"/>
      <sheetName val="Ano"/>
      <sheetName val="Resultados por turno"/>
      <sheetName val="Evolução por Gerente"/>
    </sheetNames>
    <sheetDataSet>
      <sheetData sheetId="0"/>
      <sheetData sheetId="1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2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3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4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5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6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7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8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9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10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11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12">
        <row r="192">
          <cell r="O192" t="e">
            <v>#DIV/0!</v>
          </cell>
        </row>
        <row r="193">
          <cell r="O193" t="e">
            <v>#DIV/0!</v>
          </cell>
        </row>
        <row r="209">
          <cell r="F209" t="e">
            <v>#DIV/0!</v>
          </cell>
        </row>
        <row r="210">
          <cell r="F210" t="e">
            <v>#DIV/0!</v>
          </cell>
        </row>
        <row r="243">
          <cell r="F243"/>
        </row>
        <row r="244">
          <cell r="F244"/>
        </row>
      </sheetData>
      <sheetData sheetId="13"/>
      <sheetData sheetId="14"/>
      <sheetData sheetId="15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pace.mcd.com/portfolio/11/E0003227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F8DAF-6B15-45B1-8E48-5AFE82FEFA88}">
  <dimension ref="A1:CL88"/>
  <sheetViews>
    <sheetView topLeftCell="H1" workbookViewId="0">
      <selection activeCell="M11" sqref="M11:N11"/>
    </sheetView>
  </sheetViews>
  <sheetFormatPr defaultRowHeight="14.4" x14ac:dyDescent="0.3"/>
  <cols>
    <col min="5" max="5" width="9.5546875" bestFit="1" customWidth="1"/>
    <col min="6" max="6" width="9.6640625" bestFit="1" customWidth="1"/>
    <col min="7" max="7" width="10.33203125" bestFit="1" customWidth="1"/>
    <col min="9" max="10" width="9.6640625" bestFit="1" customWidth="1"/>
    <col min="13" max="13" width="10.33203125" bestFit="1" customWidth="1"/>
    <col min="15" max="15" width="9.6640625" bestFit="1" customWidth="1"/>
    <col min="16" max="16" width="9.33203125" bestFit="1" customWidth="1"/>
    <col min="20" max="20" width="9" bestFit="1" customWidth="1"/>
    <col min="23" max="23" width="11.109375" customWidth="1"/>
  </cols>
  <sheetData>
    <row r="1" spans="1:39" ht="29.4" customHeight="1" x14ac:dyDescent="0.6">
      <c r="A1" s="621" t="s">
        <v>200</v>
      </c>
      <c r="B1" s="621"/>
      <c r="C1" s="621"/>
      <c r="D1" s="621"/>
      <c r="E1" s="621"/>
      <c r="F1" s="621"/>
      <c r="G1" s="621"/>
      <c r="H1" s="621"/>
      <c r="I1" s="621"/>
      <c r="J1" s="621"/>
      <c r="K1" s="621"/>
      <c r="L1" s="621"/>
      <c r="M1" s="621"/>
      <c r="N1" s="621"/>
      <c r="O1" s="621"/>
      <c r="P1" s="621"/>
      <c r="Q1" s="621"/>
      <c r="R1" s="621"/>
      <c r="S1" s="621"/>
      <c r="T1" s="621"/>
      <c r="U1" s="621"/>
      <c r="V1" s="621"/>
      <c r="W1" s="621"/>
      <c r="X1" s="621"/>
      <c r="Y1" s="621"/>
      <c r="Z1" s="371"/>
      <c r="AA1" s="371"/>
      <c r="AB1" s="371"/>
      <c r="AC1" s="371"/>
      <c r="AD1" s="371"/>
      <c r="AE1" s="371"/>
      <c r="AF1" s="371"/>
      <c r="AG1" s="371"/>
      <c r="AH1" s="371"/>
      <c r="AI1" s="371"/>
      <c r="AJ1" s="371"/>
      <c r="AK1" s="371"/>
    </row>
    <row r="2" spans="1:39" x14ac:dyDescent="0.3">
      <c r="A2" s="371"/>
      <c r="B2" s="371"/>
      <c r="C2" s="371"/>
      <c r="D2" s="371"/>
      <c r="E2" s="371"/>
      <c r="F2" s="371"/>
      <c r="G2" s="371"/>
      <c r="H2" s="371"/>
      <c r="I2" s="371"/>
      <c r="J2" s="371"/>
      <c r="K2" s="371"/>
      <c r="L2" s="371"/>
      <c r="M2" s="371"/>
      <c r="N2" s="371"/>
      <c r="O2" s="371"/>
      <c r="P2" s="371"/>
      <c r="Q2" s="371"/>
      <c r="R2" s="371"/>
      <c r="S2" s="371"/>
      <c r="T2" s="371"/>
      <c r="U2" s="371"/>
      <c r="V2" s="371"/>
      <c r="W2" s="371"/>
      <c r="X2" s="371"/>
      <c r="Y2" s="371"/>
      <c r="Z2" s="371"/>
      <c r="AA2" s="371"/>
      <c r="AB2" s="371"/>
      <c r="AC2" s="371"/>
      <c r="AD2" s="371"/>
      <c r="AE2" s="371"/>
      <c r="AF2" s="371"/>
      <c r="AG2" s="371"/>
      <c r="AH2" s="371"/>
      <c r="AI2" s="371"/>
      <c r="AJ2" s="371"/>
      <c r="AK2" s="371"/>
    </row>
    <row r="3" spans="1:39" x14ac:dyDescent="0.3">
      <c r="A3" s="371"/>
      <c r="B3" s="620" t="s">
        <v>301</v>
      </c>
      <c r="C3" s="620"/>
      <c r="D3" s="620"/>
      <c r="E3" s="620"/>
      <c r="F3" s="620"/>
      <c r="G3" s="620"/>
      <c r="H3" s="620"/>
      <c r="I3" s="620"/>
      <c r="J3" s="620"/>
      <c r="K3" s="620"/>
      <c r="L3" s="371"/>
      <c r="M3" s="623" t="s">
        <v>316</v>
      </c>
      <c r="N3" s="623"/>
      <c r="O3" s="371"/>
      <c r="P3" s="620" t="s">
        <v>302</v>
      </c>
      <c r="Q3" s="620"/>
      <c r="R3" s="620"/>
      <c r="S3" s="620"/>
      <c r="T3" s="620"/>
      <c r="U3" s="620"/>
      <c r="V3" s="620"/>
      <c r="W3" s="620"/>
      <c r="X3" s="620"/>
      <c r="Y3" s="620"/>
      <c r="Z3" s="371"/>
      <c r="AA3" s="371"/>
      <c r="AB3" s="371"/>
      <c r="AC3" s="371"/>
      <c r="AD3" s="371"/>
      <c r="AE3" s="371"/>
      <c r="AF3" s="371"/>
      <c r="AG3" s="371"/>
      <c r="AH3" s="371"/>
      <c r="AI3" s="371"/>
      <c r="AJ3" s="371"/>
      <c r="AK3" s="371"/>
      <c r="AL3" s="371"/>
      <c r="AM3" s="371"/>
    </row>
    <row r="4" spans="1:39" x14ac:dyDescent="0.3">
      <c r="A4" s="371"/>
      <c r="B4" s="534"/>
      <c r="C4" s="534"/>
      <c r="D4" s="535"/>
      <c r="E4" s="374" t="s">
        <v>25</v>
      </c>
      <c r="F4" s="374" t="s">
        <v>309</v>
      </c>
      <c r="G4" s="374" t="s">
        <v>310</v>
      </c>
      <c r="H4" s="374" t="s">
        <v>395</v>
      </c>
      <c r="I4" s="374" t="s">
        <v>396</v>
      </c>
      <c r="J4" s="374" t="s">
        <v>311</v>
      </c>
      <c r="K4" s="374" t="s">
        <v>312</v>
      </c>
      <c r="L4" s="371"/>
      <c r="M4" s="596">
        <v>20</v>
      </c>
      <c r="N4" s="595">
        <v>32</v>
      </c>
      <c r="O4" s="371"/>
      <c r="P4" s="570"/>
      <c r="Q4" s="570"/>
      <c r="R4" s="372"/>
      <c r="S4" s="605" t="s">
        <v>25</v>
      </c>
      <c r="T4" s="606"/>
      <c r="U4" s="605" t="s">
        <v>327</v>
      </c>
      <c r="V4" s="606"/>
      <c r="W4" s="374" t="s">
        <v>314</v>
      </c>
      <c r="X4" s="374" t="s">
        <v>215</v>
      </c>
      <c r="Y4" s="374" t="s">
        <v>397</v>
      </c>
      <c r="Z4" s="371"/>
      <c r="AA4" s="371"/>
      <c r="AB4" s="371"/>
      <c r="AC4" s="371"/>
      <c r="AD4" s="371"/>
      <c r="AE4" s="371"/>
      <c r="AF4" s="371"/>
      <c r="AG4" s="371"/>
      <c r="AH4" s="371"/>
      <c r="AI4" s="371"/>
      <c r="AJ4" s="371"/>
      <c r="AK4" s="371"/>
      <c r="AL4" s="371"/>
      <c r="AM4" s="371"/>
    </row>
    <row r="5" spans="1:39" x14ac:dyDescent="0.3">
      <c r="A5" s="371"/>
      <c r="B5" s="572" t="s">
        <v>303</v>
      </c>
      <c r="C5" s="572"/>
      <c r="D5" s="572"/>
      <c r="E5" s="383">
        <v>0.11840000000000001</v>
      </c>
      <c r="F5" s="383">
        <v>6.3500000000000001E-2</v>
      </c>
      <c r="G5" s="506">
        <f t="shared" ref="G5:G10" si="0">(E5-F5)*100</f>
        <v>5.49</v>
      </c>
      <c r="H5" s="511">
        <v>4.7500000000000001E-2</v>
      </c>
      <c r="I5" s="506">
        <f t="shared" ref="I5:I10" si="1">(E5-H5)*100</f>
        <v>7.0900000000000007</v>
      </c>
      <c r="J5" s="383">
        <v>7.2999999999999995E-2</v>
      </c>
      <c r="K5" s="506">
        <f t="shared" ref="K5:K10" si="2">(E5-J5)*100</f>
        <v>4.5400000000000009</v>
      </c>
      <c r="L5" s="371"/>
      <c r="M5" s="596"/>
      <c r="N5" s="595"/>
      <c r="O5" s="371"/>
      <c r="P5" s="572" t="s">
        <v>313</v>
      </c>
      <c r="Q5" s="572"/>
      <c r="R5" s="572"/>
      <c r="S5" s="613">
        <v>105</v>
      </c>
      <c r="T5" s="614"/>
      <c r="U5" s="611">
        <v>95</v>
      </c>
      <c r="V5" s="612"/>
      <c r="W5" s="174">
        <f>S5-U5</f>
        <v>10</v>
      </c>
      <c r="X5" s="174">
        <v>110</v>
      </c>
      <c r="Y5" s="174">
        <f>S5-X5</f>
        <v>-5</v>
      </c>
      <c r="Z5" s="371"/>
      <c r="AA5" s="371"/>
      <c r="AB5" s="371"/>
      <c r="AC5" s="371"/>
      <c r="AD5" s="371"/>
      <c r="AE5" s="371"/>
      <c r="AF5" s="371"/>
      <c r="AG5" s="371"/>
      <c r="AH5" s="371"/>
      <c r="AI5" s="371"/>
      <c r="AJ5" s="371"/>
      <c r="AK5" s="371"/>
      <c r="AL5" s="371"/>
      <c r="AM5" s="371"/>
    </row>
    <row r="6" spans="1:39" x14ac:dyDescent="0.3">
      <c r="A6" s="371"/>
      <c r="B6" s="575" t="s">
        <v>304</v>
      </c>
      <c r="C6" s="575"/>
      <c r="D6" s="575"/>
      <c r="E6" s="384">
        <v>4.1099999999999998E-2</v>
      </c>
      <c r="F6" s="384">
        <v>2.3099999999999999E-2</v>
      </c>
      <c r="G6" s="506">
        <f t="shared" si="0"/>
        <v>1.7999999999999998</v>
      </c>
      <c r="H6" s="512">
        <v>5.3E-3</v>
      </c>
      <c r="I6" s="506">
        <f t="shared" si="1"/>
        <v>3.58</v>
      </c>
      <c r="J6" s="384">
        <v>2.63E-2</v>
      </c>
      <c r="K6" s="506">
        <f t="shared" si="2"/>
        <v>1.4799999999999998</v>
      </c>
      <c r="L6" s="371"/>
      <c r="M6" s="597">
        <v>0.88</v>
      </c>
      <c r="N6" s="597">
        <v>0.94</v>
      </c>
      <c r="O6" s="371"/>
      <c r="P6" s="575" t="s">
        <v>315</v>
      </c>
      <c r="Q6" s="575"/>
      <c r="R6" s="575"/>
      <c r="S6" s="605">
        <f>6.1*60</f>
        <v>366</v>
      </c>
      <c r="T6" s="606"/>
      <c r="U6" s="609">
        <f>5.1*60</f>
        <v>306</v>
      </c>
      <c r="V6" s="610"/>
      <c r="W6" s="373">
        <f>S6-U6</f>
        <v>60</v>
      </c>
      <c r="X6" s="373">
        <f>6.8*60</f>
        <v>408</v>
      </c>
      <c r="Y6" s="373">
        <f>S6-X6</f>
        <v>-42</v>
      </c>
      <c r="Z6" s="371"/>
      <c r="AA6" s="371"/>
      <c r="AB6" s="371"/>
      <c r="AC6" s="371"/>
      <c r="AD6" s="371"/>
      <c r="AE6" s="371"/>
      <c r="AF6" s="371"/>
      <c r="AG6" s="371"/>
      <c r="AH6" s="371"/>
      <c r="AI6" s="371"/>
      <c r="AJ6" s="371"/>
      <c r="AK6" s="371"/>
      <c r="AL6" s="371"/>
      <c r="AM6" s="371"/>
    </row>
    <row r="7" spans="1:39" x14ac:dyDescent="0.3">
      <c r="A7" s="371"/>
      <c r="B7" s="572" t="s">
        <v>305</v>
      </c>
      <c r="C7" s="572"/>
      <c r="D7" s="572"/>
      <c r="E7" s="383">
        <v>0.19259999999999999</v>
      </c>
      <c r="F7" s="386">
        <v>0.1152</v>
      </c>
      <c r="G7" s="506">
        <f t="shared" si="0"/>
        <v>7.7399999999999993</v>
      </c>
      <c r="H7" s="511">
        <v>4.8300000000000003E-2</v>
      </c>
      <c r="I7" s="506">
        <f t="shared" si="1"/>
        <v>14.429999999999998</v>
      </c>
      <c r="J7" s="383">
        <v>0.1623</v>
      </c>
      <c r="K7" s="506">
        <f t="shared" si="2"/>
        <v>3.0299999999999994</v>
      </c>
      <c r="L7" s="371"/>
      <c r="M7" s="598"/>
      <c r="N7" s="598"/>
      <c r="O7" s="371"/>
      <c r="P7" s="572" t="s">
        <v>222</v>
      </c>
      <c r="Q7" s="572"/>
      <c r="R7" s="572"/>
      <c r="S7" s="607">
        <v>0.97399999999999998</v>
      </c>
      <c r="T7" s="608"/>
      <c r="U7" s="607">
        <v>0.94099999999999995</v>
      </c>
      <c r="V7" s="608"/>
      <c r="W7" s="174">
        <f>(S7-U7)*100</f>
        <v>3.3000000000000029</v>
      </c>
      <c r="X7" s="398">
        <v>0.95099999999999996</v>
      </c>
      <c r="Y7" s="505">
        <f>(S7-X7)*100</f>
        <v>2.300000000000002</v>
      </c>
      <c r="Z7" s="371"/>
      <c r="AA7" s="371"/>
      <c r="AB7" s="371"/>
      <c r="AC7" s="371"/>
      <c r="AD7" s="371"/>
      <c r="AE7" s="371"/>
      <c r="AF7" s="371"/>
      <c r="AG7" s="371"/>
      <c r="AH7" s="371"/>
      <c r="AI7" s="371"/>
      <c r="AJ7" s="371"/>
      <c r="AK7" s="371"/>
      <c r="AL7" s="371"/>
      <c r="AM7" s="371"/>
    </row>
    <row r="8" spans="1:39" x14ac:dyDescent="0.3">
      <c r="A8" s="371"/>
      <c r="B8" s="575" t="s">
        <v>306</v>
      </c>
      <c r="C8" s="575"/>
      <c r="D8" s="575"/>
      <c r="E8" s="384">
        <v>0.1055</v>
      </c>
      <c r="F8" s="384">
        <v>9.0999999999999998E-2</v>
      </c>
      <c r="G8" s="506">
        <f t="shared" si="0"/>
        <v>1.45</v>
      </c>
      <c r="H8" s="512">
        <v>3.1800000000000002E-2</v>
      </c>
      <c r="I8" s="506">
        <f t="shared" si="1"/>
        <v>7.3699999999999992</v>
      </c>
      <c r="J8" s="384">
        <v>0.1095</v>
      </c>
      <c r="K8" s="506">
        <f t="shared" si="2"/>
        <v>-0.40000000000000036</v>
      </c>
      <c r="L8" s="371"/>
      <c r="M8" s="598"/>
      <c r="N8" s="598"/>
      <c r="O8" s="371"/>
      <c r="P8" s="575" t="s">
        <v>235</v>
      </c>
      <c r="Q8" s="575"/>
      <c r="R8" s="575"/>
      <c r="S8" s="624"/>
      <c r="T8" s="606"/>
      <c r="U8" s="615">
        <v>0.6</v>
      </c>
      <c r="V8" s="616"/>
      <c r="W8" s="373">
        <f>S8-U8</f>
        <v>-0.6</v>
      </c>
      <c r="X8" s="373"/>
      <c r="Y8" s="373"/>
      <c r="Z8" s="371"/>
      <c r="AA8" s="371"/>
      <c r="AB8" s="371"/>
      <c r="AC8" s="371"/>
      <c r="AD8" s="371"/>
      <c r="AE8" s="371"/>
      <c r="AF8" s="371"/>
      <c r="AG8" s="371"/>
      <c r="AH8" s="371"/>
      <c r="AI8" s="371"/>
      <c r="AJ8" s="371"/>
      <c r="AK8" s="371"/>
      <c r="AL8" s="371"/>
      <c r="AM8" s="371"/>
    </row>
    <row r="9" spans="1:39" x14ac:dyDescent="0.3">
      <c r="A9" s="371"/>
      <c r="B9" s="572" t="s">
        <v>307</v>
      </c>
      <c r="C9" s="572"/>
      <c r="D9" s="572"/>
      <c r="E9" s="398">
        <v>0.52500000000000002</v>
      </c>
      <c r="F9" s="383">
        <v>0.28899999999999998</v>
      </c>
      <c r="G9" s="506">
        <f t="shared" si="0"/>
        <v>23.600000000000005</v>
      </c>
      <c r="H9" s="511">
        <v>0.27900000000000003</v>
      </c>
      <c r="I9" s="506">
        <f t="shared" si="1"/>
        <v>24.6</v>
      </c>
      <c r="J9" s="383">
        <v>0.18099999999999999</v>
      </c>
      <c r="K9" s="506">
        <f t="shared" si="2"/>
        <v>34.400000000000006</v>
      </c>
      <c r="L9" s="371"/>
      <c r="M9" s="598"/>
      <c r="N9" s="598"/>
      <c r="O9" s="371"/>
      <c r="P9" s="572" t="s">
        <v>236</v>
      </c>
      <c r="Q9" s="572"/>
      <c r="R9" s="572"/>
      <c r="S9" s="619"/>
      <c r="T9" s="614"/>
      <c r="U9" s="618">
        <v>0.35</v>
      </c>
      <c r="V9" s="612"/>
      <c r="W9" s="174">
        <f>S9-U9</f>
        <v>-0.35</v>
      </c>
      <c r="X9" s="174"/>
      <c r="Y9" s="174"/>
      <c r="Z9" s="371"/>
      <c r="AA9" s="371"/>
      <c r="AB9" s="371"/>
      <c r="AC9" s="371"/>
      <c r="AD9" s="371"/>
      <c r="AE9" s="371"/>
      <c r="AF9" s="371"/>
      <c r="AG9" s="371"/>
      <c r="AH9" s="371"/>
      <c r="AI9" s="371"/>
      <c r="AJ9" s="371"/>
      <c r="AK9" s="371"/>
      <c r="AL9" s="371"/>
      <c r="AM9" s="371"/>
    </row>
    <row r="10" spans="1:39" x14ac:dyDescent="0.3">
      <c r="A10" s="371"/>
      <c r="B10" s="575" t="s">
        <v>308</v>
      </c>
      <c r="C10" s="575"/>
      <c r="D10" s="575"/>
      <c r="E10" s="393">
        <v>3.5999999999999999E-3</v>
      </c>
      <c r="F10" s="393">
        <v>7.1999999999999998E-3</v>
      </c>
      <c r="G10" s="506">
        <f t="shared" si="0"/>
        <v>-0.36</v>
      </c>
      <c r="H10" s="512">
        <v>7.0000000000000001E-3</v>
      </c>
      <c r="I10" s="506">
        <f t="shared" si="1"/>
        <v>-0.34</v>
      </c>
      <c r="J10" s="393">
        <v>9.2999999999999992E-3</v>
      </c>
      <c r="K10" s="506">
        <f t="shared" si="2"/>
        <v>-0.56999999999999995</v>
      </c>
      <c r="L10" s="371"/>
      <c r="M10" s="599"/>
      <c r="N10" s="599"/>
      <c r="O10" s="371"/>
      <c r="P10" s="575" t="s">
        <v>292</v>
      </c>
      <c r="Q10" s="575"/>
      <c r="R10" s="575"/>
      <c r="S10" s="617"/>
      <c r="T10" s="606"/>
      <c r="U10" s="615">
        <v>1</v>
      </c>
      <c r="V10" s="616"/>
      <c r="W10" s="373">
        <f>S10-U10</f>
        <v>-1</v>
      </c>
      <c r="X10" s="373"/>
      <c r="Y10" s="373"/>
      <c r="Z10" s="371"/>
      <c r="AA10" s="371"/>
      <c r="AB10" s="371"/>
      <c r="AC10" s="371"/>
      <c r="AD10" s="371"/>
      <c r="AE10" s="371"/>
      <c r="AF10" s="371"/>
      <c r="AG10" s="371"/>
      <c r="AH10" s="371"/>
      <c r="AI10" s="371"/>
      <c r="AJ10" s="371"/>
      <c r="AK10" s="371"/>
      <c r="AL10" s="371"/>
      <c r="AM10" s="371"/>
    </row>
    <row r="11" spans="1:39" x14ac:dyDescent="0.3">
      <c r="A11" s="371"/>
      <c r="B11" s="371"/>
      <c r="C11" s="371"/>
      <c r="D11" s="371"/>
      <c r="E11" s="371"/>
      <c r="F11" s="371"/>
      <c r="G11" s="371"/>
      <c r="H11" s="371"/>
      <c r="I11" s="371"/>
      <c r="J11" s="371"/>
      <c r="K11" s="371"/>
      <c r="L11" s="371"/>
      <c r="M11" s="622" t="s">
        <v>401</v>
      </c>
      <c r="N11" s="622"/>
      <c r="O11" s="371"/>
      <c r="P11" s="371"/>
      <c r="Q11" s="371"/>
      <c r="R11" s="371"/>
      <c r="S11" s="371"/>
      <c r="T11" s="371"/>
      <c r="U11" s="371"/>
      <c r="V11" s="371"/>
      <c r="W11" s="371"/>
      <c r="X11" s="371"/>
      <c r="Y11" s="371"/>
      <c r="Z11" s="371"/>
      <c r="AA11" s="371"/>
      <c r="AB11" s="371"/>
      <c r="AC11" s="371"/>
      <c r="AD11" s="371"/>
      <c r="AE11" s="371"/>
      <c r="AF11" s="371"/>
      <c r="AG11" s="371"/>
      <c r="AH11" s="371"/>
      <c r="AI11" s="371"/>
      <c r="AJ11" s="371"/>
      <c r="AK11" s="371"/>
    </row>
    <row r="12" spans="1:39" x14ac:dyDescent="0.3">
      <c r="A12" s="371"/>
      <c r="B12" s="371" t="s">
        <v>404</v>
      </c>
      <c r="C12" s="371"/>
      <c r="D12" s="371"/>
      <c r="E12" s="371"/>
      <c r="F12" s="371"/>
      <c r="G12" s="371"/>
      <c r="H12" s="371"/>
      <c r="I12" s="371"/>
      <c r="J12" s="371"/>
      <c r="K12" s="371"/>
      <c r="L12" s="534">
        <v>2024</v>
      </c>
      <c r="M12" s="537">
        <v>2525592</v>
      </c>
      <c r="N12" s="536" t="s">
        <v>314</v>
      </c>
      <c r="O12" s="371"/>
      <c r="P12" s="371"/>
      <c r="Q12" s="371"/>
      <c r="R12" s="371"/>
      <c r="S12" s="371"/>
      <c r="T12" s="371"/>
      <c r="U12" s="371"/>
      <c r="V12" s="371"/>
      <c r="W12" s="371"/>
      <c r="X12" s="371"/>
      <c r="Y12" s="371"/>
      <c r="Z12" s="371"/>
      <c r="AA12" s="371"/>
      <c r="AB12" s="371"/>
      <c r="AC12" s="371"/>
      <c r="AD12" s="371"/>
      <c r="AE12" s="371"/>
      <c r="AF12" s="371"/>
      <c r="AG12" s="371"/>
      <c r="AH12" s="371"/>
      <c r="AI12" s="371"/>
      <c r="AJ12" s="371"/>
      <c r="AK12" s="371"/>
    </row>
    <row r="13" spans="1:39" x14ac:dyDescent="0.3">
      <c r="A13" s="371"/>
      <c r="B13" s="371"/>
      <c r="C13" s="371"/>
      <c r="D13" s="371"/>
      <c r="E13" s="371"/>
      <c r="F13" s="371"/>
      <c r="G13" s="371"/>
      <c r="H13" s="371"/>
      <c r="I13" s="371"/>
      <c r="J13" s="371"/>
      <c r="K13" s="371"/>
      <c r="L13" s="534">
        <v>2025</v>
      </c>
      <c r="M13" s="537">
        <v>2824671</v>
      </c>
      <c r="N13" s="537">
        <f>M13-M12</f>
        <v>299079</v>
      </c>
      <c r="O13" s="444">
        <f>N13/M12</f>
        <v>0.11841936464797165</v>
      </c>
      <c r="P13" s="371"/>
      <c r="Q13" s="371"/>
      <c r="R13" s="371"/>
      <c r="S13" s="371"/>
      <c r="T13" s="371"/>
      <c r="U13" s="371"/>
      <c r="V13" s="371"/>
      <c r="W13" s="371"/>
      <c r="X13" s="371"/>
      <c r="Y13" s="371"/>
      <c r="Z13" s="371"/>
      <c r="AA13" s="371"/>
      <c r="AB13" s="371"/>
      <c r="AC13" s="371"/>
      <c r="AD13" s="371"/>
      <c r="AE13" s="371"/>
      <c r="AF13" s="371"/>
      <c r="AG13" s="371"/>
      <c r="AH13" s="371"/>
      <c r="AI13" s="371"/>
      <c r="AJ13" s="371"/>
      <c r="AK13" s="371"/>
    </row>
    <row r="14" spans="1:39" x14ac:dyDescent="0.3">
      <c r="A14" s="371"/>
      <c r="B14" s="371"/>
      <c r="C14" s="580"/>
      <c r="D14" s="580"/>
      <c r="E14" s="580"/>
      <c r="F14" s="580"/>
      <c r="G14" s="580"/>
      <c r="H14" s="580"/>
      <c r="I14" s="580"/>
      <c r="J14" s="580"/>
      <c r="K14" s="580"/>
      <c r="L14" s="580"/>
      <c r="M14" s="580"/>
      <c r="N14" s="580"/>
      <c r="O14" s="580"/>
      <c r="P14" s="580"/>
      <c r="Q14" s="580"/>
      <c r="R14" s="580"/>
      <c r="S14" s="580"/>
      <c r="T14" s="580"/>
      <c r="U14" s="371"/>
      <c r="V14" s="371"/>
      <c r="W14" s="371"/>
      <c r="X14" s="371"/>
      <c r="Y14" s="371"/>
      <c r="Z14" s="371"/>
      <c r="AA14" s="371"/>
      <c r="AB14" s="371"/>
      <c r="AC14" s="371"/>
      <c r="AD14" s="371"/>
      <c r="AE14" s="371"/>
      <c r="AF14" s="371"/>
      <c r="AG14" s="371"/>
      <c r="AH14" s="371"/>
      <c r="AI14" s="371"/>
      <c r="AJ14" s="371"/>
      <c r="AK14" s="371"/>
    </row>
    <row r="15" spans="1:39" ht="15" thickBot="1" x14ac:dyDescent="0.35">
      <c r="A15" s="371"/>
      <c r="B15" s="371"/>
      <c r="C15" s="371"/>
      <c r="D15" s="371"/>
      <c r="E15" s="371"/>
      <c r="F15" s="375" t="s">
        <v>260</v>
      </c>
      <c r="G15" s="375" t="s">
        <v>262</v>
      </c>
      <c r="H15" s="375" t="s">
        <v>263</v>
      </c>
      <c r="I15" s="375" t="s">
        <v>264</v>
      </c>
      <c r="J15" s="375" t="s">
        <v>265</v>
      </c>
      <c r="K15" s="375" t="s">
        <v>266</v>
      </c>
      <c r="L15" s="375" t="s">
        <v>267</v>
      </c>
      <c r="M15" s="375" t="s">
        <v>268</v>
      </c>
      <c r="N15" s="375" t="s">
        <v>269</v>
      </c>
      <c r="O15" s="375" t="s">
        <v>270</v>
      </c>
      <c r="P15" s="375" t="s">
        <v>271</v>
      </c>
      <c r="Q15" s="375" t="s">
        <v>272</v>
      </c>
      <c r="R15" s="375" t="s">
        <v>1</v>
      </c>
      <c r="S15" s="375" t="s">
        <v>215</v>
      </c>
      <c r="T15" s="375" t="s">
        <v>314</v>
      </c>
      <c r="U15" s="371"/>
      <c r="V15" s="371"/>
      <c r="W15" s="371"/>
      <c r="X15" s="371"/>
      <c r="Y15" s="371"/>
      <c r="Z15" s="371"/>
      <c r="AA15" s="371"/>
      <c r="AB15" s="371"/>
      <c r="AC15" s="371"/>
      <c r="AD15" s="371"/>
      <c r="AE15" s="371"/>
      <c r="AF15" s="371"/>
      <c r="AG15" s="371"/>
      <c r="AH15" s="371"/>
      <c r="AI15" s="371"/>
      <c r="AJ15" s="371"/>
      <c r="AK15" s="371"/>
    </row>
    <row r="16" spans="1:39" x14ac:dyDescent="0.3">
      <c r="A16" s="371"/>
      <c r="B16" s="371"/>
      <c r="C16" s="584" t="s">
        <v>303</v>
      </c>
      <c r="D16" s="585"/>
      <c r="E16" s="603"/>
      <c r="F16" s="387"/>
      <c r="G16" s="388"/>
      <c r="H16" s="388"/>
      <c r="I16" s="388"/>
      <c r="J16" s="388"/>
      <c r="K16" s="388"/>
      <c r="L16" s="388"/>
      <c r="M16" s="388"/>
      <c r="N16" s="388"/>
      <c r="O16" s="388"/>
      <c r="P16" s="388"/>
      <c r="Q16" s="388"/>
      <c r="R16" s="388">
        <f>E5</f>
        <v>0.11840000000000001</v>
      </c>
      <c r="S16" s="388"/>
      <c r="T16" s="389">
        <f>R16-S16</f>
        <v>0.11840000000000001</v>
      </c>
      <c r="U16" s="371"/>
      <c r="V16" s="371"/>
      <c r="W16" s="371"/>
      <c r="X16" s="371"/>
      <c r="Y16" s="371"/>
      <c r="Z16" s="371"/>
      <c r="AA16" s="371"/>
      <c r="AB16" s="371"/>
      <c r="AC16" s="371"/>
      <c r="AD16" s="371"/>
      <c r="AE16" s="371"/>
      <c r="AF16" s="371"/>
      <c r="AG16" s="371"/>
      <c r="AH16" s="371"/>
      <c r="AI16" s="371"/>
      <c r="AJ16" s="371"/>
      <c r="AK16" s="371"/>
    </row>
    <row r="17" spans="1:37" x14ac:dyDescent="0.3">
      <c r="A17" s="371"/>
      <c r="B17" s="371"/>
      <c r="C17" s="574" t="s">
        <v>304</v>
      </c>
      <c r="D17" s="575"/>
      <c r="E17" s="588"/>
      <c r="F17" s="392"/>
      <c r="G17" s="393"/>
      <c r="H17" s="393"/>
      <c r="I17" s="393"/>
      <c r="J17" s="393"/>
      <c r="K17" s="393"/>
      <c r="L17" s="393"/>
      <c r="M17" s="393"/>
      <c r="N17" s="393"/>
      <c r="O17" s="393"/>
      <c r="P17" s="393"/>
      <c r="Q17" s="393"/>
      <c r="R17" s="393">
        <f>E6</f>
        <v>4.1099999999999998E-2</v>
      </c>
      <c r="S17" s="393"/>
      <c r="T17" s="394">
        <f>R17-S17</f>
        <v>4.1099999999999998E-2</v>
      </c>
      <c r="X17" s="371"/>
      <c r="Y17" s="371"/>
      <c r="Z17" s="371"/>
      <c r="AA17" s="371"/>
      <c r="AB17" s="371"/>
      <c r="AC17" s="371"/>
      <c r="AD17" s="371"/>
      <c r="AE17" s="371"/>
      <c r="AF17" s="371"/>
      <c r="AG17" s="371"/>
      <c r="AH17" s="371"/>
      <c r="AI17" s="371"/>
      <c r="AJ17" s="371"/>
      <c r="AK17" s="371"/>
    </row>
    <row r="18" spans="1:37" x14ac:dyDescent="0.3">
      <c r="A18" s="371"/>
      <c r="B18" s="371"/>
      <c r="C18" s="571" t="s">
        <v>305</v>
      </c>
      <c r="D18" s="572"/>
      <c r="E18" s="604"/>
      <c r="F18" s="397"/>
      <c r="G18" s="398"/>
      <c r="H18" s="398"/>
      <c r="I18" s="398"/>
      <c r="J18" s="398"/>
      <c r="K18" s="398"/>
      <c r="L18" s="398"/>
      <c r="M18" s="398"/>
      <c r="N18" s="398"/>
      <c r="O18" s="398"/>
      <c r="P18" s="398"/>
      <c r="Q18" s="398"/>
      <c r="R18" s="398">
        <f>E7</f>
        <v>0.19259999999999999</v>
      </c>
      <c r="S18" s="398"/>
      <c r="T18" s="399">
        <f>R18-S18</f>
        <v>0.19259999999999999</v>
      </c>
      <c r="X18" s="371"/>
      <c r="Y18" s="371"/>
      <c r="Z18" s="371"/>
      <c r="AA18" s="371"/>
      <c r="AB18" s="371"/>
      <c r="AC18" s="371"/>
      <c r="AD18" s="371"/>
      <c r="AE18" s="371"/>
      <c r="AF18" s="371"/>
      <c r="AG18" s="371"/>
      <c r="AH18" s="371"/>
      <c r="AI18" s="371"/>
      <c r="AJ18" s="371"/>
      <c r="AK18" s="371"/>
    </row>
    <row r="19" spans="1:37" x14ac:dyDescent="0.3">
      <c r="A19" s="371"/>
      <c r="B19" s="371"/>
      <c r="C19" s="574" t="s">
        <v>306</v>
      </c>
      <c r="D19" s="575"/>
      <c r="E19" s="588"/>
      <c r="F19" s="392"/>
      <c r="G19" s="393"/>
      <c r="H19" s="393"/>
      <c r="I19" s="393"/>
      <c r="J19" s="393"/>
      <c r="K19" s="393"/>
      <c r="L19" s="393"/>
      <c r="M19" s="393"/>
      <c r="N19" s="393"/>
      <c r="O19" s="393"/>
      <c r="P19" s="393"/>
      <c r="Q19" s="393"/>
      <c r="R19" s="393">
        <f>E8</f>
        <v>0.1055</v>
      </c>
      <c r="S19" s="393"/>
      <c r="T19" s="394">
        <f>R19-S19</f>
        <v>0.1055</v>
      </c>
      <c r="X19" s="371"/>
      <c r="Y19" s="371"/>
      <c r="Z19" s="371"/>
      <c r="AA19" s="371"/>
      <c r="AB19" s="371"/>
      <c r="AC19" s="371"/>
      <c r="AD19" s="371"/>
      <c r="AE19" s="371"/>
      <c r="AF19" s="371"/>
      <c r="AG19" s="371"/>
      <c r="AH19" s="371"/>
      <c r="AI19" s="371"/>
      <c r="AJ19" s="371"/>
      <c r="AK19" s="371"/>
    </row>
    <row r="20" spans="1:37" x14ac:dyDescent="0.3">
      <c r="A20" s="371"/>
      <c r="B20" s="371"/>
      <c r="C20" s="571" t="s">
        <v>307</v>
      </c>
      <c r="D20" s="572"/>
      <c r="E20" s="604"/>
      <c r="F20" s="397">
        <f>(Serviço!C71+Serviço!C82)/(Serviço!C81+Serviço!C70)</f>
        <v>0.57534934052663766</v>
      </c>
      <c r="G20" s="398">
        <f>(Serviço!D71+Serviço!D82)/(Serviço!D81+Serviço!D70)</f>
        <v>0.48743465643821277</v>
      </c>
      <c r="H20" s="398">
        <f>(Serviço!E71+Serviço!E82)/(Serviço!E81+Serviço!E70)</f>
        <v>0.55094074244869728</v>
      </c>
      <c r="I20" s="398">
        <f>(Serviço!F71+Serviço!F82)/(Serviço!F81+Serviço!F70)</f>
        <v>0.48917944209341846</v>
      </c>
      <c r="J20" s="398">
        <f>(Serviço!G71+Serviço!G82)/(Serviço!G81+Serviço!G70)</f>
        <v>0.51277637000212783</v>
      </c>
      <c r="K20" s="398">
        <f>(Serviço!H71+Serviço!H82)/(Serviço!H81+Serviço!H70)</f>
        <v>0.51137934973061383</v>
      </c>
      <c r="L20" s="398">
        <f>(Serviço!I71+Serviço!I82)/(Serviço!I81+Serviço!I70)</f>
        <v>0.47767429434740954</v>
      </c>
      <c r="M20" s="398">
        <f>(Serviço!J71+Serviço!J82)/(Serviço!J81+Serviço!J70)</f>
        <v>0.45997226050506984</v>
      </c>
      <c r="N20" s="398">
        <f>(Serviço!K71+Serviço!K82)/(Serviço!K81+Serviço!K70)</f>
        <v>0.51622935129827352</v>
      </c>
      <c r="O20" s="398">
        <f>(Serviço!L71+Serviço!L82)/(Serviço!L81+Serviço!L70)</f>
        <v>0.51881906207513551</v>
      </c>
      <c r="P20" s="398">
        <f>(Serviço!M71+Serviço!M82)/(Serviço!M81+Serviço!M70)</f>
        <v>0.54194240564713436</v>
      </c>
      <c r="Q20" s="398">
        <f>(Serviço!N71+Serviço!N82)/(Serviço!N81+Serviço!N70)</f>
        <v>0.54316149488759846</v>
      </c>
      <c r="R20" s="398">
        <f>(Serviço!O71+Serviço!O82)/(Serviço!O81+Serviço!O70)</f>
        <v>0.51384801517924961</v>
      </c>
      <c r="S20" s="398"/>
      <c r="T20" s="399">
        <f>R20-S20</f>
        <v>0.51384801517924961</v>
      </c>
      <c r="X20" s="371"/>
      <c r="Y20" s="371"/>
      <c r="Z20" s="371"/>
      <c r="AA20" s="371"/>
      <c r="AB20" s="371"/>
      <c r="AC20" s="371"/>
      <c r="AD20" s="371"/>
      <c r="AE20" s="371"/>
      <c r="AF20" s="371"/>
      <c r="AG20" s="371"/>
      <c r="AH20" s="371"/>
      <c r="AI20" s="371"/>
      <c r="AJ20" s="371"/>
      <c r="AK20" s="371"/>
    </row>
    <row r="21" spans="1:37" ht="15" thickBot="1" x14ac:dyDescent="0.35">
      <c r="A21" s="371"/>
      <c r="B21" s="371"/>
      <c r="C21" s="577" t="s">
        <v>308</v>
      </c>
      <c r="D21" s="578"/>
      <c r="E21" s="587"/>
      <c r="F21" s="400">
        <v>3.8999999999999998E-3</v>
      </c>
      <c r="G21" s="401">
        <v>3.3E-3</v>
      </c>
      <c r="H21" s="401">
        <v>3.3999999999999998E-3</v>
      </c>
      <c r="I21" s="401">
        <v>3.8E-3</v>
      </c>
      <c r="J21" s="401">
        <v>3.8E-3</v>
      </c>
      <c r="K21" s="401">
        <f>(Serviço!H88+Serviço!H77)/(Serviço!H70+Serviço!H81)</f>
        <v>3.9636346845982051E-3</v>
      </c>
      <c r="L21" s="401">
        <f>(Serviço!I88+Serviço!I77)/(Serviço!I70+Serviço!I81)</f>
        <v>4.0832964846340926E-3</v>
      </c>
      <c r="M21" s="401">
        <f>(Serviço!J88+Serviço!J77)/(Serviço!J70+Serviço!J81)</f>
        <v>3.5872310400991763E-3</v>
      </c>
      <c r="N21" s="401">
        <f>(Serviço!K88+Serviço!K77)/(Serviço!K70+Serviço!K81)</f>
        <v>4.1365766348054143E-3</v>
      </c>
      <c r="O21" s="401">
        <f>(Serviço!L88+Serviço!L77)/(Serviço!L70+Serviço!L81)</f>
        <v>3.4680250602506526E-3</v>
      </c>
      <c r="P21" s="401">
        <f>(Serviço!M88+Serviço!M77)/(Serviço!M70+Serviço!M81)</f>
        <v>3.0682228372037059E-3</v>
      </c>
      <c r="Q21" s="401">
        <f>(Serviço!N88+Serviço!N77)/(Serviço!N70+Serviço!N81)</f>
        <v>4.4746873775339344E-3</v>
      </c>
      <c r="R21" s="401">
        <f>(Serviço!O88+Serviço!O77)/(Serviço!O70+Serviço!O81)</f>
        <v>3.893940119232853E-3</v>
      </c>
      <c r="S21" s="401"/>
      <c r="T21" s="402"/>
      <c r="X21" s="371"/>
      <c r="Y21" s="371"/>
      <c r="Z21" s="371"/>
      <c r="AA21" s="371"/>
      <c r="AB21" s="371"/>
      <c r="AC21" s="371"/>
      <c r="AD21" s="371"/>
      <c r="AE21" s="371"/>
      <c r="AF21" s="371"/>
      <c r="AG21" s="371"/>
      <c r="AH21" s="371"/>
      <c r="AI21" s="371"/>
      <c r="AJ21" s="371"/>
      <c r="AK21" s="371"/>
    </row>
    <row r="22" spans="1:37" x14ac:dyDescent="0.3">
      <c r="A22" s="371"/>
      <c r="B22" s="371"/>
      <c r="C22" s="584" t="s">
        <v>313</v>
      </c>
      <c r="D22" s="585"/>
      <c r="E22" s="603"/>
      <c r="F22" s="376">
        <f>Serviço!O9</f>
        <v>110</v>
      </c>
      <c r="G22" s="377">
        <f>Serviço!P9</f>
        <v>110</v>
      </c>
      <c r="H22" s="377">
        <f>Serviço!Q9</f>
        <v>114</v>
      </c>
      <c r="I22" s="377">
        <f>Serviço!R9</f>
        <v>117</v>
      </c>
      <c r="J22" s="377">
        <f>Serviço!S9</f>
        <v>119</v>
      </c>
      <c r="K22" s="377">
        <f>Serviço!T9</f>
        <v>123</v>
      </c>
      <c r="L22" s="377">
        <f>Serviço!U9</f>
        <v>145</v>
      </c>
      <c r="M22" s="377">
        <f>Serviço!V9</f>
        <v>143</v>
      </c>
      <c r="N22" s="377">
        <f>Serviço!W9</f>
        <v>125</v>
      </c>
      <c r="O22" s="377">
        <f>Serviço!X9</f>
        <v>131</v>
      </c>
      <c r="P22" s="377">
        <f>Serviço!Y9</f>
        <v>126</v>
      </c>
      <c r="Q22" s="377">
        <f>Serviço!Z9</f>
        <v>0</v>
      </c>
      <c r="R22" s="377">
        <f>Serviço!AA9</f>
        <v>111</v>
      </c>
      <c r="S22" s="377">
        <v>128</v>
      </c>
      <c r="T22" s="378">
        <f t="shared" ref="T22:T28" si="3">R22-S22</f>
        <v>-17</v>
      </c>
      <c r="X22" s="371"/>
      <c r="Y22" s="371"/>
      <c r="Z22" s="371"/>
      <c r="AA22" s="371"/>
      <c r="AB22" s="371"/>
      <c r="AC22" s="371"/>
      <c r="AD22" s="371"/>
      <c r="AE22" s="371"/>
      <c r="AF22" s="371"/>
      <c r="AG22" s="371"/>
      <c r="AH22" s="371"/>
      <c r="AI22" s="371"/>
      <c r="AJ22" s="371"/>
      <c r="AK22" s="371"/>
    </row>
    <row r="23" spans="1:37" x14ac:dyDescent="0.3">
      <c r="A23" s="371"/>
      <c r="B23" s="371"/>
      <c r="C23" s="574" t="s">
        <v>391</v>
      </c>
      <c r="D23" s="575"/>
      <c r="E23" s="588"/>
      <c r="F23" s="508">
        <v>130</v>
      </c>
      <c r="G23" s="509">
        <v>136</v>
      </c>
      <c r="H23" s="509">
        <v>150</v>
      </c>
      <c r="I23" s="509">
        <v>156</v>
      </c>
      <c r="J23" s="509">
        <v>162</v>
      </c>
      <c r="K23" s="509"/>
      <c r="L23" s="509"/>
      <c r="M23" s="509"/>
      <c r="N23" s="509"/>
      <c r="O23" s="509"/>
      <c r="P23" s="509"/>
      <c r="Q23" s="509"/>
      <c r="R23" s="509"/>
      <c r="S23" s="509"/>
      <c r="T23" s="510">
        <f>R23-S23</f>
        <v>0</v>
      </c>
      <c r="X23" s="371"/>
      <c r="Y23" s="371"/>
      <c r="Z23" s="371"/>
      <c r="AA23" s="371"/>
      <c r="AB23" s="371"/>
      <c r="AC23" s="371"/>
      <c r="AD23" s="371"/>
      <c r="AE23" s="371"/>
      <c r="AF23" s="371"/>
      <c r="AG23" s="371"/>
      <c r="AH23" s="371"/>
      <c r="AI23" s="371"/>
      <c r="AJ23" s="371"/>
      <c r="AK23" s="371"/>
    </row>
    <row r="24" spans="1:37" x14ac:dyDescent="0.3">
      <c r="A24" s="371"/>
      <c r="B24" s="371"/>
      <c r="C24" s="574" t="s">
        <v>222</v>
      </c>
      <c r="D24" s="575"/>
      <c r="E24" s="588"/>
      <c r="F24" s="390">
        <v>0.98099999999999998</v>
      </c>
      <c r="G24" s="391">
        <v>0.98</v>
      </c>
      <c r="H24" s="391">
        <v>0.96299999999999997</v>
      </c>
      <c r="I24" s="391">
        <v>0.97399999999999998</v>
      </c>
      <c r="J24" s="391">
        <v>0.96899999999999997</v>
      </c>
      <c r="K24" s="391"/>
      <c r="L24" s="391"/>
      <c r="M24" s="391"/>
      <c r="N24" s="391"/>
      <c r="O24" s="391"/>
      <c r="P24" s="391"/>
      <c r="Q24" s="391"/>
      <c r="R24" s="391"/>
      <c r="S24" s="391"/>
      <c r="T24" s="406">
        <f t="shared" si="3"/>
        <v>0</v>
      </c>
      <c r="X24" s="371"/>
      <c r="Y24" s="371"/>
      <c r="Z24" s="371"/>
      <c r="AA24" s="371"/>
      <c r="AB24" s="371"/>
      <c r="AC24" s="371"/>
      <c r="AD24" s="371"/>
      <c r="AE24" s="371"/>
      <c r="AF24" s="371"/>
      <c r="AG24" s="371"/>
      <c r="AH24" s="371"/>
      <c r="AI24" s="371"/>
      <c r="AJ24" s="371"/>
      <c r="AK24" s="371"/>
    </row>
    <row r="25" spans="1:37" x14ac:dyDescent="0.3">
      <c r="A25" s="371"/>
      <c r="B25" s="371"/>
      <c r="C25" s="571" t="s">
        <v>328</v>
      </c>
      <c r="D25" s="572"/>
      <c r="E25" s="604"/>
      <c r="F25" s="395">
        <v>0.95199999999999996</v>
      </c>
      <c r="G25" s="396">
        <v>0.94699999999999995</v>
      </c>
      <c r="H25" s="396">
        <v>0.93700000000000006</v>
      </c>
      <c r="I25" s="405">
        <v>0.93500000000000005</v>
      </c>
      <c r="J25" s="405">
        <v>0.92700000000000005</v>
      </c>
      <c r="K25" s="405"/>
      <c r="L25" s="405"/>
      <c r="M25" s="405"/>
      <c r="N25" s="405"/>
      <c r="O25" s="405"/>
      <c r="P25" s="405"/>
      <c r="Q25" s="405"/>
      <c r="R25" s="405"/>
      <c r="S25" s="383"/>
      <c r="T25" s="407">
        <f t="shared" si="3"/>
        <v>0</v>
      </c>
      <c r="X25" s="371"/>
      <c r="Y25" s="371"/>
      <c r="Z25" s="371"/>
      <c r="AA25" s="371"/>
      <c r="AB25" s="371"/>
      <c r="AC25" s="371"/>
      <c r="AD25" s="371"/>
      <c r="AE25" s="371"/>
      <c r="AF25" s="371"/>
      <c r="AG25" s="371"/>
      <c r="AH25" s="371"/>
      <c r="AI25" s="371"/>
      <c r="AJ25" s="371"/>
      <c r="AK25" s="371"/>
    </row>
    <row r="26" spans="1:37" x14ac:dyDescent="0.3">
      <c r="A26" s="371"/>
      <c r="B26" s="371"/>
      <c r="C26" s="574" t="s">
        <v>235</v>
      </c>
      <c r="D26" s="575"/>
      <c r="E26" s="588"/>
      <c r="F26" s="403"/>
      <c r="G26" s="384"/>
      <c r="H26" s="384"/>
      <c r="I26" s="384"/>
      <c r="J26" s="384"/>
      <c r="K26" s="384"/>
      <c r="L26" s="384"/>
      <c r="M26" s="384"/>
      <c r="N26" s="384"/>
      <c r="O26" s="373"/>
      <c r="P26" s="373"/>
      <c r="Q26" s="373"/>
      <c r="R26" s="384"/>
      <c r="S26" s="385"/>
      <c r="T26" s="409">
        <f t="shared" si="3"/>
        <v>0</v>
      </c>
      <c r="X26" s="371"/>
      <c r="Y26" s="371"/>
      <c r="Z26" s="371"/>
      <c r="AA26" s="371"/>
      <c r="AB26" s="371"/>
      <c r="AC26" s="371"/>
      <c r="AD26" s="371"/>
      <c r="AE26" s="371"/>
      <c r="AF26" s="371"/>
      <c r="AG26" s="371"/>
      <c r="AH26" s="371"/>
      <c r="AI26" s="371"/>
      <c r="AJ26" s="371"/>
      <c r="AK26" s="371"/>
    </row>
    <row r="27" spans="1:37" x14ac:dyDescent="0.3">
      <c r="A27" s="371"/>
      <c r="B27" s="371"/>
      <c r="C27" s="571" t="s">
        <v>236</v>
      </c>
      <c r="D27" s="572"/>
      <c r="E27" s="604"/>
      <c r="F27" s="412"/>
      <c r="G27" s="386"/>
      <c r="H27" s="386"/>
      <c r="I27" s="386"/>
      <c r="J27" s="386"/>
      <c r="K27" s="386"/>
      <c r="L27" s="386"/>
      <c r="M27" s="386"/>
      <c r="N27" s="386"/>
      <c r="O27" s="174"/>
      <c r="P27" s="174"/>
      <c r="Q27" s="174"/>
      <c r="R27" s="386"/>
      <c r="S27" s="386"/>
      <c r="T27" s="410">
        <f t="shared" si="3"/>
        <v>0</v>
      </c>
      <c r="X27" s="371"/>
      <c r="Y27" s="371"/>
      <c r="Z27" s="371"/>
      <c r="AA27" s="371"/>
      <c r="AB27" s="371"/>
      <c r="AC27" s="371"/>
      <c r="AD27" s="371"/>
      <c r="AE27" s="371"/>
      <c r="AF27" s="371"/>
      <c r="AG27" s="371"/>
      <c r="AH27" s="371"/>
      <c r="AI27" s="371"/>
      <c r="AJ27" s="371"/>
      <c r="AK27" s="371"/>
    </row>
    <row r="28" spans="1:37" ht="15" thickBot="1" x14ac:dyDescent="0.35">
      <c r="A28" s="371"/>
      <c r="B28" s="371"/>
      <c r="C28" s="577"/>
      <c r="D28" s="578"/>
      <c r="E28" s="587"/>
      <c r="F28" s="381"/>
      <c r="G28" s="382"/>
      <c r="H28" s="382"/>
      <c r="I28" s="382"/>
      <c r="J28" s="382"/>
      <c r="K28" s="382"/>
      <c r="L28" s="382"/>
      <c r="M28" s="382"/>
      <c r="N28" s="382"/>
      <c r="O28" s="382"/>
      <c r="P28" s="382"/>
      <c r="Q28" s="382"/>
      <c r="R28" s="408"/>
      <c r="S28" s="408"/>
      <c r="T28" s="411">
        <f t="shared" si="3"/>
        <v>0</v>
      </c>
      <c r="X28" s="371"/>
      <c r="Y28" s="371"/>
      <c r="Z28" s="371"/>
      <c r="AA28" s="371"/>
      <c r="AB28" s="371"/>
      <c r="AC28" s="371"/>
      <c r="AD28" s="371"/>
      <c r="AE28" s="371"/>
      <c r="AF28" s="371"/>
      <c r="AG28" s="371"/>
      <c r="AH28" s="371"/>
      <c r="AI28" s="371"/>
      <c r="AJ28" s="371"/>
      <c r="AK28" s="371"/>
    </row>
    <row r="29" spans="1:37" x14ac:dyDescent="0.3">
      <c r="A29" s="371"/>
      <c r="B29" s="371"/>
      <c r="C29" s="371"/>
      <c r="D29" s="371"/>
      <c r="E29" s="371"/>
      <c r="F29" s="371"/>
      <c r="G29" s="371"/>
      <c r="H29" s="371"/>
      <c r="I29" s="371"/>
      <c r="J29" s="371"/>
      <c r="K29" s="371"/>
      <c r="L29" s="371"/>
      <c r="M29" s="371"/>
      <c r="N29" s="371"/>
      <c r="O29" s="371"/>
      <c r="P29" s="371"/>
      <c r="Q29" s="371"/>
      <c r="R29" s="371"/>
      <c r="S29" s="371"/>
      <c r="T29" s="371"/>
      <c r="U29" s="371"/>
      <c r="V29" s="371"/>
      <c r="W29" s="371"/>
      <c r="X29" s="371"/>
      <c r="Y29" s="371"/>
      <c r="Z29" s="371"/>
      <c r="AA29" s="371"/>
      <c r="AB29" s="371"/>
      <c r="AC29" s="371"/>
      <c r="AD29" s="371"/>
      <c r="AE29" s="371"/>
      <c r="AF29" s="371"/>
      <c r="AG29" s="371"/>
      <c r="AH29" s="371"/>
      <c r="AI29" s="371"/>
      <c r="AJ29" s="371"/>
      <c r="AK29" s="371"/>
    </row>
    <row r="30" spans="1:37" ht="15" thickBot="1" x14ac:dyDescent="0.35">
      <c r="A30" s="371"/>
      <c r="B30" s="371"/>
      <c r="C30" s="371"/>
      <c r="D30" s="371"/>
      <c r="E30" s="371"/>
      <c r="F30" s="375" t="s">
        <v>260</v>
      </c>
      <c r="G30" s="375" t="s">
        <v>262</v>
      </c>
      <c r="H30" s="375" t="s">
        <v>263</v>
      </c>
      <c r="I30" s="375" t="s">
        <v>264</v>
      </c>
      <c r="J30" s="375" t="s">
        <v>265</v>
      </c>
      <c r="K30" s="375" t="s">
        <v>266</v>
      </c>
      <c r="L30" s="375" t="s">
        <v>267</v>
      </c>
      <c r="M30" s="375" t="s">
        <v>268</v>
      </c>
      <c r="N30" s="375" t="s">
        <v>269</v>
      </c>
      <c r="O30" s="375" t="s">
        <v>270</v>
      </c>
      <c r="P30" s="375" t="s">
        <v>271</v>
      </c>
      <c r="Q30" s="375" t="s">
        <v>272</v>
      </c>
      <c r="R30" s="375" t="s">
        <v>1</v>
      </c>
      <c r="S30" s="375" t="s">
        <v>215</v>
      </c>
      <c r="T30" s="375" t="s">
        <v>314</v>
      </c>
      <c r="X30" s="371"/>
      <c r="Y30" s="371"/>
      <c r="Z30" s="371"/>
      <c r="AA30" s="371"/>
      <c r="AB30" s="371"/>
      <c r="AC30" s="371"/>
      <c r="AD30" s="371"/>
      <c r="AE30" s="371"/>
      <c r="AF30" s="371"/>
      <c r="AG30" s="371"/>
      <c r="AH30" s="371"/>
      <c r="AI30" s="371"/>
      <c r="AJ30" s="371"/>
      <c r="AK30" s="371"/>
    </row>
    <row r="31" spans="1:37" ht="15" thickBot="1" x14ac:dyDescent="0.35">
      <c r="A31" s="371"/>
      <c r="B31" s="371"/>
      <c r="C31" s="600" t="s">
        <v>317</v>
      </c>
      <c r="D31" s="601"/>
      <c r="E31" s="602"/>
      <c r="F31" s="517"/>
      <c r="G31" s="518"/>
      <c r="H31" s="518"/>
      <c r="I31" s="518"/>
      <c r="J31" s="518"/>
      <c r="K31" s="518"/>
      <c r="L31" s="518"/>
      <c r="M31" s="518"/>
      <c r="N31" s="518"/>
      <c r="O31" s="518"/>
      <c r="P31" s="518"/>
      <c r="Q31" s="518"/>
      <c r="R31" s="518"/>
      <c r="S31" s="518">
        <v>0.16689999999999999</v>
      </c>
      <c r="T31" s="527">
        <f>(R31-S31)*100</f>
        <v>-16.689999999999998</v>
      </c>
      <c r="X31" s="371"/>
      <c r="Y31" s="371"/>
      <c r="Z31" s="371"/>
      <c r="AA31" s="371"/>
      <c r="AB31" s="371"/>
      <c r="AC31" s="371"/>
      <c r="AD31" s="371"/>
      <c r="AE31" s="371"/>
      <c r="AF31" s="371"/>
      <c r="AG31" s="371"/>
      <c r="AH31" s="371"/>
      <c r="AI31" s="371"/>
      <c r="AJ31" s="371"/>
      <c r="AK31" s="371"/>
    </row>
    <row r="32" spans="1:37" x14ac:dyDescent="0.3">
      <c r="A32" s="371"/>
      <c r="B32" s="371"/>
      <c r="C32" s="584" t="s">
        <v>318</v>
      </c>
      <c r="D32" s="585"/>
      <c r="E32" s="586"/>
      <c r="F32" s="516"/>
      <c r="G32" s="388"/>
      <c r="H32" s="388"/>
      <c r="I32" s="388"/>
      <c r="J32" s="388"/>
      <c r="K32" s="388"/>
      <c r="L32" s="388"/>
      <c r="M32" s="388"/>
      <c r="N32" s="388"/>
      <c r="O32" s="388"/>
      <c r="P32" s="388"/>
      <c r="Q32" s="388"/>
      <c r="R32" s="388"/>
      <c r="S32" s="388">
        <v>0.19520000000000001</v>
      </c>
      <c r="T32" s="528">
        <f t="shared" ref="T32:T47" si="4">(R32-S32)*100</f>
        <v>-19.52</v>
      </c>
      <c r="X32" s="371"/>
      <c r="Y32" s="371"/>
      <c r="Z32" s="371"/>
      <c r="AA32" s="371"/>
      <c r="AB32" s="371"/>
      <c r="AC32" s="371"/>
      <c r="AD32" s="371"/>
      <c r="AE32" s="371"/>
      <c r="AF32" s="371"/>
      <c r="AG32" s="371"/>
      <c r="AH32" s="371"/>
      <c r="AI32" s="371"/>
      <c r="AJ32" s="371"/>
      <c r="AK32" s="371"/>
    </row>
    <row r="33" spans="1:90" ht="15" thickBot="1" x14ac:dyDescent="0.35">
      <c r="A33" s="371"/>
      <c r="B33" s="371"/>
      <c r="C33" s="521" t="s">
        <v>398</v>
      </c>
      <c r="D33" s="522"/>
      <c r="E33" s="523"/>
      <c r="F33" s="532">
        <f>F31-F32</f>
        <v>0</v>
      </c>
      <c r="G33" s="533">
        <f t="shared" ref="G33:R33" si="5">G31-G32</f>
        <v>0</v>
      </c>
      <c r="H33" s="533">
        <f t="shared" si="5"/>
        <v>0</v>
      </c>
      <c r="I33" s="533">
        <f t="shared" si="5"/>
        <v>0</v>
      </c>
      <c r="J33" s="533">
        <f t="shared" si="5"/>
        <v>0</v>
      </c>
      <c r="K33" s="533">
        <f t="shared" si="5"/>
        <v>0</v>
      </c>
      <c r="L33" s="533">
        <f t="shared" si="5"/>
        <v>0</v>
      </c>
      <c r="M33" s="533">
        <f t="shared" si="5"/>
        <v>0</v>
      </c>
      <c r="N33" s="533">
        <f t="shared" si="5"/>
        <v>0</v>
      </c>
      <c r="O33" s="533">
        <f t="shared" si="5"/>
        <v>0</v>
      </c>
      <c r="P33" s="533">
        <f t="shared" si="5"/>
        <v>0</v>
      </c>
      <c r="Q33" s="533">
        <f t="shared" si="5"/>
        <v>0</v>
      </c>
      <c r="R33" s="533">
        <f t="shared" si="5"/>
        <v>0</v>
      </c>
      <c r="S33" s="404"/>
      <c r="T33" s="529">
        <f t="shared" si="4"/>
        <v>0</v>
      </c>
      <c r="X33" s="371"/>
      <c r="Y33" s="371"/>
      <c r="Z33" s="371"/>
      <c r="AA33" s="371"/>
      <c r="AB33" s="371"/>
      <c r="AC33" s="371"/>
      <c r="AD33" s="371"/>
      <c r="AE33" s="371"/>
      <c r="AF33" s="371"/>
      <c r="AG33" s="371"/>
      <c r="AH33" s="371"/>
      <c r="AI33" s="371"/>
      <c r="AJ33" s="371"/>
      <c r="AK33" s="371"/>
    </row>
    <row r="34" spans="1:90" x14ac:dyDescent="0.3">
      <c r="A34" s="371"/>
      <c r="B34" s="371"/>
      <c r="C34" s="589" t="s">
        <v>394</v>
      </c>
      <c r="D34" s="590"/>
      <c r="E34" s="591"/>
      <c r="F34" s="516"/>
      <c r="G34" s="388"/>
      <c r="H34" s="388"/>
      <c r="I34" s="388"/>
      <c r="J34" s="388"/>
      <c r="K34" s="388"/>
      <c r="L34" s="388"/>
      <c r="M34" s="388"/>
      <c r="N34" s="388"/>
      <c r="O34" s="388"/>
      <c r="P34" s="388"/>
      <c r="Q34" s="388"/>
      <c r="R34" s="388"/>
      <c r="S34" s="388">
        <v>0.15379999999999999</v>
      </c>
      <c r="T34" s="528">
        <f t="shared" si="4"/>
        <v>-15.379999999999999</v>
      </c>
      <c r="X34" s="371"/>
      <c r="Y34" s="371"/>
      <c r="Z34" s="371"/>
      <c r="AA34" s="371"/>
      <c r="AB34" s="371"/>
      <c r="AC34" s="371"/>
      <c r="AD34" s="371"/>
      <c r="AE34" s="371"/>
      <c r="AF34" s="371"/>
      <c r="AG34" s="371"/>
      <c r="AH34" s="371"/>
      <c r="AI34" s="371"/>
      <c r="AJ34" s="371"/>
      <c r="AK34" s="371"/>
    </row>
    <row r="35" spans="1:90" ht="15" thickBot="1" x14ac:dyDescent="0.35">
      <c r="A35" s="371"/>
      <c r="B35" s="371"/>
      <c r="C35" s="521" t="s">
        <v>399</v>
      </c>
      <c r="D35" s="522"/>
      <c r="E35" s="523"/>
      <c r="F35" s="532">
        <f>F31-F34</f>
        <v>0</v>
      </c>
      <c r="G35" s="533">
        <f t="shared" ref="G35:R35" si="6">G31-G34</f>
        <v>0</v>
      </c>
      <c r="H35" s="533">
        <f t="shared" si="6"/>
        <v>0</v>
      </c>
      <c r="I35" s="533">
        <f t="shared" si="6"/>
        <v>0</v>
      </c>
      <c r="J35" s="533">
        <f t="shared" si="6"/>
        <v>0</v>
      </c>
      <c r="K35" s="533">
        <f t="shared" si="6"/>
        <v>0</v>
      </c>
      <c r="L35" s="533">
        <f t="shared" si="6"/>
        <v>0</v>
      </c>
      <c r="M35" s="533">
        <f t="shared" si="6"/>
        <v>0</v>
      </c>
      <c r="N35" s="533">
        <f t="shared" si="6"/>
        <v>0</v>
      </c>
      <c r="O35" s="533">
        <f t="shared" si="6"/>
        <v>0</v>
      </c>
      <c r="P35" s="533">
        <f t="shared" si="6"/>
        <v>0</v>
      </c>
      <c r="Q35" s="533">
        <f t="shared" si="6"/>
        <v>0</v>
      </c>
      <c r="R35" s="533">
        <f t="shared" si="6"/>
        <v>0</v>
      </c>
      <c r="S35" s="404"/>
      <c r="T35" s="529">
        <f t="shared" si="4"/>
        <v>0</v>
      </c>
      <c r="X35" s="371"/>
      <c r="Y35" s="371"/>
      <c r="Z35" s="371"/>
      <c r="AA35" s="371"/>
      <c r="AB35" s="371"/>
      <c r="AC35" s="371"/>
      <c r="AD35" s="371"/>
      <c r="AE35" s="371"/>
      <c r="AF35" s="371"/>
      <c r="AG35" s="371"/>
      <c r="AH35" s="371"/>
      <c r="AI35" s="371"/>
      <c r="AJ35" s="371"/>
      <c r="AK35" s="371"/>
    </row>
    <row r="36" spans="1:90" x14ac:dyDescent="0.3">
      <c r="A36" s="371"/>
      <c r="B36" s="371"/>
      <c r="C36" s="524" t="s">
        <v>319</v>
      </c>
      <c r="D36" s="525"/>
      <c r="E36" s="526"/>
      <c r="F36" s="516"/>
      <c r="G36" s="388"/>
      <c r="H36" s="388"/>
      <c r="I36" s="388"/>
      <c r="J36" s="388"/>
      <c r="K36" s="388"/>
      <c r="L36" s="388"/>
      <c r="M36" s="388"/>
      <c r="N36" s="388"/>
      <c r="O36" s="388"/>
      <c r="P36" s="388"/>
      <c r="Q36" s="388"/>
      <c r="R36" s="388">
        <v>8.5199999999999998E-2</v>
      </c>
      <c r="S36" s="388">
        <v>0.19520000000000001</v>
      </c>
      <c r="T36" s="528">
        <f t="shared" si="4"/>
        <v>-11.000000000000002</v>
      </c>
      <c r="X36" s="371"/>
      <c r="Y36" s="371"/>
      <c r="Z36" s="371"/>
      <c r="AA36" s="371"/>
      <c r="AB36" s="371"/>
      <c r="AC36" s="371"/>
      <c r="AD36" s="371"/>
      <c r="AE36" s="371"/>
      <c r="AF36" s="371"/>
      <c r="AG36" s="371"/>
      <c r="AH36" s="371"/>
      <c r="AI36" s="371"/>
      <c r="AJ36" s="371"/>
      <c r="AK36" s="371"/>
    </row>
    <row r="37" spans="1:90" ht="15" thickBot="1" x14ac:dyDescent="0.35">
      <c r="A37" s="371"/>
      <c r="B37" s="371"/>
      <c r="C37" s="521" t="s">
        <v>400</v>
      </c>
      <c r="D37" s="522"/>
      <c r="E37" s="523"/>
      <c r="F37" s="532">
        <f>F31-F36</f>
        <v>0</v>
      </c>
      <c r="G37" s="533">
        <f t="shared" ref="G37:R37" si="7">G31-G36</f>
        <v>0</v>
      </c>
      <c r="H37" s="533">
        <f t="shared" si="7"/>
        <v>0</v>
      </c>
      <c r="I37" s="533">
        <f t="shared" si="7"/>
        <v>0</v>
      </c>
      <c r="J37" s="533">
        <f t="shared" si="7"/>
        <v>0</v>
      </c>
      <c r="K37" s="533">
        <f t="shared" si="7"/>
        <v>0</v>
      </c>
      <c r="L37" s="533">
        <f t="shared" si="7"/>
        <v>0</v>
      </c>
      <c r="M37" s="533">
        <f t="shared" si="7"/>
        <v>0</v>
      </c>
      <c r="N37" s="533">
        <f t="shared" si="7"/>
        <v>0</v>
      </c>
      <c r="O37" s="533">
        <f t="shared" si="7"/>
        <v>0</v>
      </c>
      <c r="P37" s="533">
        <f t="shared" si="7"/>
        <v>0</v>
      </c>
      <c r="Q37" s="533">
        <f t="shared" si="7"/>
        <v>0</v>
      </c>
      <c r="R37" s="533">
        <f t="shared" si="7"/>
        <v>-8.5199999999999998E-2</v>
      </c>
      <c r="S37" s="404"/>
      <c r="T37" s="529">
        <f t="shared" si="4"/>
        <v>-8.52</v>
      </c>
      <c r="X37" s="371"/>
      <c r="Y37" s="371"/>
      <c r="Z37" s="371"/>
      <c r="AA37" s="371"/>
      <c r="AB37" s="371"/>
      <c r="AC37" s="371"/>
      <c r="AD37" s="371"/>
      <c r="AE37" s="371"/>
      <c r="AF37" s="371"/>
      <c r="AG37" s="371"/>
      <c r="AH37" s="371"/>
      <c r="AI37" s="371"/>
      <c r="AJ37" s="371"/>
      <c r="AK37" s="371"/>
    </row>
    <row r="38" spans="1:90" x14ac:dyDescent="0.3">
      <c r="A38" s="371"/>
      <c r="B38" s="371"/>
      <c r="C38" s="581" t="s">
        <v>392</v>
      </c>
      <c r="D38" s="582"/>
      <c r="E38" s="583"/>
      <c r="F38" s="519"/>
      <c r="G38" s="520"/>
      <c r="H38" s="520"/>
      <c r="I38" s="520"/>
      <c r="J38" s="520"/>
      <c r="K38" s="520"/>
      <c r="L38" s="520"/>
      <c r="M38" s="520"/>
      <c r="N38" s="520"/>
      <c r="O38" s="520"/>
      <c r="P38" s="520"/>
      <c r="Q38" s="520"/>
      <c r="R38" s="520"/>
      <c r="S38" s="520">
        <v>0.1074</v>
      </c>
      <c r="T38" s="530">
        <f t="shared" si="4"/>
        <v>-10.74</v>
      </c>
      <c r="X38" s="371"/>
      <c r="Y38" s="371"/>
      <c r="Z38" s="371"/>
      <c r="AA38" s="371"/>
      <c r="AB38" s="371"/>
      <c r="AC38" s="371"/>
      <c r="AD38" s="371"/>
      <c r="AE38" s="371"/>
      <c r="AF38" s="371"/>
      <c r="AG38" s="371"/>
      <c r="AH38" s="371"/>
      <c r="AI38" s="371"/>
      <c r="AJ38" s="371"/>
      <c r="AK38" s="371"/>
    </row>
    <row r="39" spans="1:90" x14ac:dyDescent="0.3">
      <c r="A39" s="371"/>
      <c r="B39" s="371"/>
      <c r="C39" s="592" t="s">
        <v>320</v>
      </c>
      <c r="D39" s="593"/>
      <c r="E39" s="594"/>
      <c r="F39" s="514"/>
      <c r="G39" s="393"/>
      <c r="H39" s="393"/>
      <c r="I39" s="393"/>
      <c r="J39" s="393"/>
      <c r="K39" s="393"/>
      <c r="L39" s="393"/>
      <c r="M39" s="393"/>
      <c r="N39" s="393"/>
      <c r="O39" s="393"/>
      <c r="P39" s="393"/>
      <c r="Q39" s="393"/>
      <c r="R39" s="393"/>
      <c r="S39" s="393">
        <v>0.1444</v>
      </c>
      <c r="T39" s="507">
        <f t="shared" si="4"/>
        <v>-14.44</v>
      </c>
      <c r="X39" s="371"/>
      <c r="Y39" s="371"/>
      <c r="Z39" s="371"/>
      <c r="AA39" s="371"/>
      <c r="AB39" s="371"/>
      <c r="AC39" s="371"/>
      <c r="AD39" s="371"/>
      <c r="AE39" s="371"/>
      <c r="AF39" s="371"/>
      <c r="AG39" s="371"/>
      <c r="AH39" s="371"/>
      <c r="AI39" s="371"/>
      <c r="AJ39" s="371"/>
      <c r="AK39" s="371"/>
    </row>
    <row r="40" spans="1:90" x14ac:dyDescent="0.3">
      <c r="A40" s="371"/>
      <c r="B40" s="371"/>
      <c r="C40" s="571" t="s">
        <v>393</v>
      </c>
      <c r="D40" s="572"/>
      <c r="E40" s="573"/>
      <c r="F40" s="513"/>
      <c r="G40" s="398"/>
      <c r="H40" s="398"/>
      <c r="I40" s="398"/>
      <c r="J40" s="398"/>
      <c r="K40" s="398"/>
      <c r="L40" s="398"/>
      <c r="M40" s="398"/>
      <c r="N40" s="398"/>
      <c r="O40" s="398"/>
      <c r="P40" s="398"/>
      <c r="Q40" s="398"/>
      <c r="R40" s="398"/>
      <c r="S40" s="398">
        <v>9.06E-2</v>
      </c>
      <c r="T40" s="531">
        <f t="shared" si="4"/>
        <v>-9.06</v>
      </c>
      <c r="X40" s="371"/>
      <c r="Y40" s="371"/>
      <c r="Z40" s="371"/>
      <c r="AA40" s="371"/>
      <c r="AB40" s="371"/>
      <c r="AC40" s="371"/>
      <c r="AD40" s="371"/>
      <c r="AE40" s="371"/>
      <c r="AF40" s="371"/>
      <c r="AG40" s="371"/>
      <c r="AH40" s="371"/>
      <c r="AI40" s="371"/>
      <c r="AJ40" s="371"/>
      <c r="AK40" s="371"/>
    </row>
    <row r="41" spans="1:90" ht="15" thickBot="1" x14ac:dyDescent="0.35">
      <c r="A41" s="371"/>
      <c r="B41" s="371"/>
      <c r="C41" s="577" t="s">
        <v>321</v>
      </c>
      <c r="D41" s="578"/>
      <c r="E41" s="579"/>
      <c r="F41" s="515"/>
      <c r="G41" s="404"/>
      <c r="H41" s="404"/>
      <c r="I41" s="404"/>
      <c r="J41" s="404"/>
      <c r="K41" s="404"/>
      <c r="L41" s="404"/>
      <c r="M41" s="404"/>
      <c r="N41" s="404"/>
      <c r="O41" s="404"/>
      <c r="P41" s="404"/>
      <c r="Q41" s="404"/>
      <c r="R41" s="404"/>
      <c r="S41" s="404">
        <v>0.1444</v>
      </c>
      <c r="T41" s="529">
        <f t="shared" si="4"/>
        <v>-14.44</v>
      </c>
      <c r="X41" s="371"/>
      <c r="Y41" s="371"/>
      <c r="Z41" s="371"/>
      <c r="AA41" s="371"/>
      <c r="AB41" s="371"/>
      <c r="AC41" s="371"/>
      <c r="AD41" s="371"/>
      <c r="AE41" s="371"/>
      <c r="AF41" s="371"/>
      <c r="AG41" s="371"/>
      <c r="AH41" s="371"/>
      <c r="AI41" s="371"/>
      <c r="AJ41" s="371"/>
      <c r="AK41" s="371"/>
    </row>
    <row r="42" spans="1:90" x14ac:dyDescent="0.3">
      <c r="A42" s="371"/>
      <c r="B42" s="371"/>
      <c r="C42" s="584" t="s">
        <v>322</v>
      </c>
      <c r="D42" s="585"/>
      <c r="E42" s="586"/>
      <c r="F42" s="516">
        <f>F18</f>
        <v>0</v>
      </c>
      <c r="G42" s="388">
        <f t="shared" ref="G42:R42" si="8">G18</f>
        <v>0</v>
      </c>
      <c r="H42" s="388">
        <f t="shared" si="8"/>
        <v>0</v>
      </c>
      <c r="I42" s="388">
        <f t="shared" si="8"/>
        <v>0</v>
      </c>
      <c r="J42" s="388">
        <f t="shared" si="8"/>
        <v>0</v>
      </c>
      <c r="K42" s="388">
        <f t="shared" si="8"/>
        <v>0</v>
      </c>
      <c r="L42" s="388">
        <f t="shared" si="8"/>
        <v>0</v>
      </c>
      <c r="M42" s="388">
        <f t="shared" si="8"/>
        <v>0</v>
      </c>
      <c r="N42" s="388">
        <f t="shared" si="8"/>
        <v>0</v>
      </c>
      <c r="O42" s="388">
        <f t="shared" si="8"/>
        <v>0</v>
      </c>
      <c r="P42" s="388">
        <f t="shared" si="8"/>
        <v>0</v>
      </c>
      <c r="Q42" s="388">
        <f t="shared" si="8"/>
        <v>0</v>
      </c>
      <c r="R42" s="388">
        <f t="shared" si="8"/>
        <v>0.19259999999999999</v>
      </c>
      <c r="S42" s="388">
        <v>0.12740000000000001</v>
      </c>
      <c r="T42" s="528">
        <f t="shared" si="4"/>
        <v>6.5199999999999978</v>
      </c>
      <c r="X42" s="371"/>
      <c r="Y42" s="371"/>
      <c r="Z42" s="371"/>
      <c r="AA42" s="371"/>
      <c r="AB42" s="371"/>
      <c r="AC42" s="371"/>
      <c r="AD42" s="371"/>
      <c r="AE42" s="371"/>
      <c r="AF42" s="371"/>
      <c r="AG42" s="371"/>
      <c r="AH42" s="371"/>
      <c r="AI42" s="371"/>
      <c r="AJ42" s="371"/>
      <c r="AK42" s="371"/>
    </row>
    <row r="43" spans="1:90" x14ac:dyDescent="0.3">
      <c r="A43" s="371"/>
      <c r="B43" s="371"/>
      <c r="C43" s="574" t="s">
        <v>323</v>
      </c>
      <c r="D43" s="575"/>
      <c r="E43" s="576"/>
      <c r="F43" s="514"/>
      <c r="G43" s="393"/>
      <c r="H43" s="393"/>
      <c r="I43" s="393"/>
      <c r="J43" s="393"/>
      <c r="K43" s="393"/>
      <c r="L43" s="393"/>
      <c r="M43" s="393"/>
      <c r="N43" s="393"/>
      <c r="O43" s="393"/>
      <c r="P43" s="393"/>
      <c r="Q43" s="393"/>
      <c r="R43" s="393"/>
      <c r="S43" s="393">
        <v>9.7600000000000006E-2</v>
      </c>
      <c r="T43" s="507">
        <f t="shared" si="4"/>
        <v>-9.76</v>
      </c>
      <c r="X43" s="371"/>
      <c r="Y43" s="371"/>
      <c r="Z43" s="371"/>
      <c r="AA43" s="371"/>
      <c r="AB43" s="371"/>
      <c r="AC43" s="371"/>
      <c r="AD43" s="371"/>
      <c r="AE43" s="371"/>
      <c r="AF43" s="371"/>
      <c r="AG43" s="371"/>
      <c r="AH43" s="371"/>
      <c r="AI43" s="371"/>
      <c r="AJ43" s="371"/>
      <c r="AK43" s="371"/>
    </row>
    <row r="44" spans="1:90" x14ac:dyDescent="0.3">
      <c r="A44" s="371"/>
      <c r="B44" s="371"/>
      <c r="C44" s="571" t="s">
        <v>324</v>
      </c>
      <c r="D44" s="572"/>
      <c r="E44" s="573"/>
      <c r="F44" s="513"/>
      <c r="G44" s="398"/>
      <c r="H44" s="398"/>
      <c r="I44" s="398"/>
      <c r="J44" s="398"/>
      <c r="K44" s="398"/>
      <c r="L44" s="398"/>
      <c r="M44" s="398"/>
      <c r="N44" s="398"/>
      <c r="O44" s="398"/>
      <c r="P44" s="398"/>
      <c r="Q44" s="398"/>
      <c r="R44" s="398"/>
      <c r="S44" s="398">
        <v>0.10680000000000001</v>
      </c>
      <c r="T44" s="531">
        <f t="shared" si="4"/>
        <v>-10.68</v>
      </c>
      <c r="X44" s="371"/>
      <c r="Y44" s="371"/>
      <c r="Z44" s="371"/>
      <c r="AA44" s="371"/>
      <c r="AB44" s="371"/>
      <c r="AC44" s="371"/>
      <c r="AD44" s="371"/>
      <c r="AE44" s="371"/>
      <c r="AF44" s="371"/>
      <c r="AG44" s="371"/>
      <c r="AH44" s="371"/>
      <c r="AI44" s="371"/>
      <c r="AJ44" s="371"/>
      <c r="AK44" s="371"/>
    </row>
    <row r="45" spans="1:90" x14ac:dyDescent="0.3">
      <c r="A45" s="371"/>
      <c r="B45" s="371"/>
      <c r="C45" s="574" t="s">
        <v>325</v>
      </c>
      <c r="D45" s="575"/>
      <c r="E45" s="576"/>
      <c r="F45" s="514">
        <f>F19</f>
        <v>0</v>
      </c>
      <c r="G45" s="393">
        <f t="shared" ref="G45:R45" si="9">G19</f>
        <v>0</v>
      </c>
      <c r="H45" s="393">
        <f t="shared" si="9"/>
        <v>0</v>
      </c>
      <c r="I45" s="393">
        <f t="shared" si="9"/>
        <v>0</v>
      </c>
      <c r="J45" s="393">
        <f t="shared" si="9"/>
        <v>0</v>
      </c>
      <c r="K45" s="393">
        <f t="shared" si="9"/>
        <v>0</v>
      </c>
      <c r="L45" s="393">
        <f t="shared" si="9"/>
        <v>0</v>
      </c>
      <c r="M45" s="393">
        <f t="shared" si="9"/>
        <v>0</v>
      </c>
      <c r="N45" s="393">
        <f t="shared" si="9"/>
        <v>0</v>
      </c>
      <c r="O45" s="393">
        <f t="shared" si="9"/>
        <v>0</v>
      </c>
      <c r="P45" s="393">
        <f t="shared" si="9"/>
        <v>0</v>
      </c>
      <c r="Q45" s="393">
        <f t="shared" si="9"/>
        <v>0</v>
      </c>
      <c r="R45" s="393">
        <f t="shared" si="9"/>
        <v>0.1055</v>
      </c>
      <c r="S45" s="393">
        <v>5.16E-2</v>
      </c>
      <c r="T45" s="507">
        <f t="shared" si="4"/>
        <v>5.39</v>
      </c>
      <c r="X45" s="371"/>
      <c r="Y45" s="371"/>
      <c r="Z45" s="371"/>
      <c r="AA45" s="371"/>
      <c r="AB45" s="371"/>
      <c r="AC45" s="371"/>
      <c r="AD45" s="371"/>
      <c r="AE45" s="371"/>
      <c r="AF45" s="371"/>
      <c r="AG45" s="371"/>
      <c r="AH45" s="371"/>
      <c r="AI45" s="371"/>
      <c r="AJ45" s="371"/>
      <c r="AK45" s="371"/>
    </row>
    <row r="46" spans="1:90" x14ac:dyDescent="0.3">
      <c r="A46" s="371"/>
      <c r="B46" s="371"/>
      <c r="C46" s="571" t="s">
        <v>326</v>
      </c>
      <c r="D46" s="572"/>
      <c r="E46" s="573"/>
      <c r="F46" s="513"/>
      <c r="G46" s="398"/>
      <c r="H46" s="398"/>
      <c r="I46" s="398"/>
      <c r="J46" s="398"/>
      <c r="K46" s="398"/>
      <c r="L46" s="398"/>
      <c r="M46" s="398"/>
      <c r="N46" s="398"/>
      <c r="O46" s="398"/>
      <c r="P46" s="398"/>
      <c r="Q46" s="398"/>
      <c r="R46" s="398"/>
      <c r="S46" s="398">
        <v>1.5599999999999999E-2</v>
      </c>
      <c r="T46" s="531">
        <f t="shared" si="4"/>
        <v>-1.5599999999999998</v>
      </c>
      <c r="X46" s="371"/>
      <c r="Y46" s="371"/>
      <c r="Z46" s="371"/>
      <c r="AA46" s="371"/>
      <c r="AB46" s="371"/>
      <c r="AC46" s="371"/>
      <c r="AD46" s="371"/>
      <c r="AE46" s="371"/>
      <c r="AF46" s="371"/>
      <c r="AG46" s="371"/>
      <c r="AH46" s="371"/>
      <c r="AI46" s="371"/>
      <c r="AJ46" s="371"/>
      <c r="AK46" s="371"/>
    </row>
    <row r="47" spans="1:90" ht="15" thickBot="1" x14ac:dyDescent="0.35">
      <c r="A47" s="371"/>
      <c r="B47" s="371"/>
      <c r="C47" s="577" t="s">
        <v>329</v>
      </c>
      <c r="D47" s="578"/>
      <c r="E47" s="579"/>
      <c r="F47" s="515"/>
      <c r="G47" s="404"/>
      <c r="H47" s="404"/>
      <c r="I47" s="404"/>
      <c r="J47" s="404"/>
      <c r="K47" s="404"/>
      <c r="L47" s="404"/>
      <c r="M47" s="404"/>
      <c r="N47" s="404"/>
      <c r="O47" s="404"/>
      <c r="P47" s="404"/>
      <c r="Q47" s="404"/>
      <c r="R47" s="404"/>
      <c r="S47" s="404">
        <v>2.6700000000000002E-2</v>
      </c>
      <c r="T47" s="529">
        <f t="shared" si="4"/>
        <v>-2.67</v>
      </c>
      <c r="X47" s="371"/>
      <c r="Y47" s="371"/>
      <c r="Z47" s="371"/>
      <c r="AA47" s="371"/>
      <c r="AB47" s="371"/>
      <c r="AC47" s="371"/>
      <c r="AD47" s="371"/>
      <c r="AE47" s="371"/>
      <c r="AF47" s="371"/>
      <c r="AG47" s="371"/>
      <c r="AH47" s="371"/>
      <c r="AI47" s="371"/>
      <c r="AJ47" s="371"/>
      <c r="AK47" s="371"/>
    </row>
    <row r="48" spans="1:90" x14ac:dyDescent="0.3">
      <c r="A48" s="371"/>
      <c r="B48" s="371"/>
      <c r="C48" s="371"/>
      <c r="D48" s="371"/>
      <c r="E48" s="371"/>
      <c r="F48" s="371"/>
      <c r="G48" s="371"/>
      <c r="H48" s="371"/>
      <c r="I48" s="371"/>
      <c r="J48" s="371"/>
      <c r="K48" s="371"/>
      <c r="L48" s="371"/>
      <c r="M48" s="371"/>
      <c r="N48" s="371"/>
      <c r="O48" s="371"/>
      <c r="P48" s="371"/>
      <c r="Q48" s="371"/>
      <c r="R48" s="371"/>
      <c r="S48" s="371"/>
      <c r="T48" s="371"/>
      <c r="U48" s="371"/>
      <c r="V48" s="371"/>
      <c r="W48" s="371"/>
      <c r="X48" s="371"/>
      <c r="Y48" s="371"/>
      <c r="Z48" s="371"/>
      <c r="AA48" s="371"/>
      <c r="AB48" s="371"/>
      <c r="AC48" s="371"/>
      <c r="AD48" s="371"/>
      <c r="AE48" s="371"/>
      <c r="AF48" s="371"/>
      <c r="AG48" s="371"/>
      <c r="AH48" s="371"/>
      <c r="AI48" s="371"/>
      <c r="AJ48" s="371"/>
      <c r="AK48" s="371"/>
      <c r="AL48" s="371"/>
      <c r="AM48" s="371"/>
      <c r="AN48" s="371"/>
      <c r="AO48" s="371"/>
      <c r="AP48" s="371"/>
      <c r="AQ48" s="371"/>
      <c r="AR48" s="371"/>
      <c r="AS48" s="371"/>
      <c r="AT48" s="371"/>
      <c r="AU48" s="371"/>
      <c r="AV48" s="371"/>
      <c r="AW48" s="371"/>
      <c r="AX48" s="371"/>
      <c r="AY48" s="371"/>
      <c r="AZ48" s="371"/>
      <c r="BA48" s="371"/>
      <c r="BB48" s="371"/>
      <c r="BC48" s="371"/>
      <c r="BD48" s="371"/>
      <c r="BE48" s="371"/>
      <c r="BF48" s="371"/>
      <c r="BG48" s="371"/>
      <c r="BH48" s="371"/>
      <c r="BI48" s="371"/>
      <c r="BJ48" s="371"/>
      <c r="BK48" s="371"/>
      <c r="BL48" s="371"/>
      <c r="BM48" s="371"/>
      <c r="BN48" s="371"/>
      <c r="BO48" s="371"/>
      <c r="BP48" s="371"/>
      <c r="BQ48" s="371"/>
      <c r="BR48" s="371"/>
      <c r="BS48" s="371"/>
      <c r="BT48" s="371"/>
      <c r="BU48" s="371"/>
      <c r="BV48" s="371"/>
      <c r="BW48" s="371"/>
      <c r="BX48" s="371"/>
      <c r="BY48" s="371"/>
      <c r="BZ48" s="371"/>
      <c r="CA48" s="371"/>
      <c r="CB48" s="371"/>
      <c r="CC48" s="371"/>
      <c r="CD48" s="371"/>
      <c r="CE48" s="371"/>
      <c r="CF48" s="371"/>
      <c r="CG48" s="371"/>
      <c r="CH48" s="371"/>
      <c r="CI48" s="371"/>
      <c r="CJ48" s="371"/>
      <c r="CK48" s="371"/>
      <c r="CL48" s="371"/>
    </row>
    <row r="49" spans="1:90" x14ac:dyDescent="0.3">
      <c r="A49" s="371"/>
      <c r="B49" s="371"/>
      <c r="C49" s="371"/>
      <c r="D49" s="371"/>
      <c r="E49" s="371"/>
      <c r="F49" s="371"/>
      <c r="G49" s="371"/>
      <c r="H49" s="371"/>
      <c r="I49" s="371"/>
      <c r="J49" s="371"/>
      <c r="K49" s="371"/>
      <c r="L49" s="371"/>
      <c r="M49" s="371"/>
      <c r="N49" s="371"/>
      <c r="O49" s="371"/>
      <c r="P49" s="371"/>
      <c r="Q49" s="371"/>
      <c r="R49" s="371"/>
      <c r="S49" s="371"/>
      <c r="T49" s="371"/>
      <c r="U49" s="371"/>
      <c r="V49" s="371"/>
      <c r="W49" s="371"/>
      <c r="X49" s="371"/>
      <c r="Y49" s="371"/>
      <c r="Z49" s="371"/>
      <c r="AA49" s="371"/>
      <c r="AB49" s="371"/>
      <c r="AC49" s="371"/>
      <c r="AD49" s="371"/>
      <c r="AE49" s="371"/>
      <c r="AF49" s="371"/>
      <c r="AG49" s="371"/>
      <c r="AH49" s="371"/>
      <c r="AI49" s="371"/>
      <c r="AJ49" s="371"/>
      <c r="AK49" s="371"/>
      <c r="AL49" s="371"/>
      <c r="AM49" s="371"/>
      <c r="AN49" s="371"/>
      <c r="AO49" s="371"/>
      <c r="AP49" s="371"/>
      <c r="AQ49" s="371"/>
      <c r="AR49" s="371"/>
      <c r="AS49" s="371"/>
      <c r="AT49" s="371"/>
      <c r="AU49" s="371"/>
      <c r="AV49" s="371"/>
      <c r="AW49" s="371"/>
      <c r="AX49" s="371"/>
      <c r="AY49" s="371"/>
      <c r="AZ49" s="371"/>
      <c r="BA49" s="371"/>
      <c r="BB49" s="371"/>
      <c r="BC49" s="371"/>
      <c r="BD49" s="371"/>
      <c r="BE49" s="371"/>
      <c r="BF49" s="371"/>
      <c r="BG49" s="371"/>
      <c r="BH49" s="371"/>
      <c r="BI49" s="371"/>
      <c r="BJ49" s="371"/>
      <c r="BK49" s="371"/>
      <c r="BL49" s="371"/>
      <c r="BM49" s="371"/>
      <c r="BN49" s="371"/>
      <c r="BO49" s="371"/>
      <c r="BP49" s="371"/>
      <c r="BQ49" s="371"/>
      <c r="BR49" s="371"/>
      <c r="BS49" s="371"/>
      <c r="BT49" s="371"/>
      <c r="BU49" s="371"/>
      <c r="BV49" s="371"/>
      <c r="BW49" s="371"/>
      <c r="BX49" s="371"/>
      <c r="BY49" s="371"/>
      <c r="BZ49" s="371"/>
      <c r="CA49" s="371"/>
      <c r="CB49" s="371"/>
      <c r="CC49" s="371"/>
      <c r="CD49" s="371"/>
      <c r="CE49" s="371"/>
      <c r="CF49" s="371"/>
      <c r="CG49" s="371"/>
      <c r="CH49" s="371"/>
      <c r="CI49" s="371"/>
      <c r="CJ49" s="371"/>
      <c r="CK49" s="371"/>
      <c r="CL49" s="371"/>
    </row>
    <row r="50" spans="1:90" x14ac:dyDescent="0.3">
      <c r="A50" s="371"/>
      <c r="B50" s="371"/>
      <c r="C50" s="371"/>
      <c r="D50" s="371"/>
      <c r="E50" s="371"/>
      <c r="F50" s="371"/>
      <c r="G50" s="371"/>
      <c r="H50" s="371"/>
      <c r="I50" s="371"/>
      <c r="J50" s="371"/>
      <c r="K50" s="371"/>
      <c r="L50" s="371"/>
      <c r="M50" s="371"/>
      <c r="N50" s="371"/>
      <c r="O50" s="371"/>
      <c r="P50" s="371"/>
      <c r="Q50" s="371"/>
      <c r="R50" s="371"/>
      <c r="S50" s="371"/>
      <c r="T50" s="371"/>
      <c r="U50" s="371"/>
      <c r="V50" s="371"/>
      <c r="W50" s="371"/>
      <c r="X50" s="371"/>
      <c r="Y50" s="371"/>
      <c r="Z50" s="371"/>
      <c r="AA50" s="371"/>
      <c r="AB50" s="371"/>
      <c r="AC50" s="371"/>
      <c r="AD50" s="371"/>
      <c r="AE50" s="371"/>
      <c r="AF50" s="371"/>
      <c r="AG50" s="371"/>
      <c r="AH50" s="371"/>
      <c r="AI50" s="371"/>
      <c r="AJ50" s="371"/>
      <c r="AK50" s="371"/>
      <c r="AL50" s="371"/>
      <c r="AM50" s="371"/>
      <c r="AN50" s="371"/>
      <c r="AO50" s="371"/>
      <c r="AP50" s="371"/>
      <c r="AQ50" s="371"/>
      <c r="AR50" s="371"/>
      <c r="AS50" s="371"/>
      <c r="AT50" s="371"/>
      <c r="AU50" s="371"/>
      <c r="AV50" s="371"/>
      <c r="AW50" s="371"/>
      <c r="AX50" s="371"/>
      <c r="AY50" s="371"/>
      <c r="AZ50" s="371"/>
      <c r="BA50" s="371"/>
      <c r="BB50" s="371"/>
      <c r="BC50" s="371"/>
      <c r="BD50" s="371"/>
      <c r="BE50" s="371"/>
      <c r="BF50" s="371"/>
      <c r="BG50" s="371"/>
      <c r="BH50" s="371"/>
      <c r="BI50" s="371"/>
      <c r="BJ50" s="371"/>
      <c r="BK50" s="371"/>
      <c r="BL50" s="371"/>
      <c r="BM50" s="371"/>
      <c r="BN50" s="371"/>
      <c r="BO50" s="371"/>
      <c r="BP50" s="371"/>
      <c r="BQ50" s="371"/>
      <c r="BR50" s="371"/>
      <c r="BS50" s="371"/>
      <c r="BT50" s="371"/>
      <c r="BU50" s="371"/>
      <c r="BV50" s="371"/>
      <c r="BW50" s="371"/>
      <c r="BX50" s="371"/>
      <c r="BY50" s="371"/>
      <c r="BZ50" s="371"/>
      <c r="CA50" s="371"/>
      <c r="CB50" s="371"/>
      <c r="CC50" s="371"/>
      <c r="CD50" s="371"/>
      <c r="CE50" s="371"/>
      <c r="CF50" s="371"/>
      <c r="CG50" s="371"/>
      <c r="CH50" s="371"/>
      <c r="CI50" s="371"/>
      <c r="CJ50" s="371"/>
      <c r="CK50" s="371"/>
      <c r="CL50" s="371"/>
    </row>
    <row r="51" spans="1:90" x14ac:dyDescent="0.3">
      <c r="A51" s="371"/>
      <c r="B51" s="371"/>
      <c r="C51" s="371"/>
      <c r="D51" s="570"/>
      <c r="E51" s="570"/>
      <c r="F51" s="570"/>
      <c r="G51" s="570"/>
      <c r="H51" s="371"/>
      <c r="I51" s="371"/>
      <c r="J51" s="371"/>
      <c r="K51" s="371"/>
      <c r="L51" s="371"/>
      <c r="M51" s="371"/>
      <c r="N51" s="371"/>
      <c r="O51" s="371"/>
      <c r="P51" s="371"/>
      <c r="Q51" s="371"/>
      <c r="R51" s="371"/>
      <c r="S51" s="371"/>
      <c r="T51" s="371"/>
      <c r="U51" s="371"/>
      <c r="V51" s="371"/>
      <c r="W51" s="371"/>
      <c r="X51" s="371"/>
      <c r="Y51" s="371"/>
      <c r="Z51" s="371"/>
      <c r="AA51" s="371"/>
      <c r="AB51" s="371"/>
      <c r="AC51" s="371"/>
      <c r="AD51" s="371"/>
      <c r="AE51" s="371"/>
      <c r="AF51" s="371"/>
      <c r="AG51" s="371"/>
      <c r="AH51" s="371"/>
      <c r="AI51" s="371"/>
      <c r="AJ51" s="371"/>
      <c r="AK51" s="371"/>
      <c r="AL51" s="371"/>
      <c r="AM51" s="371"/>
      <c r="AN51" s="371"/>
      <c r="AO51" s="371"/>
      <c r="AP51" s="371"/>
      <c r="AQ51" s="371"/>
      <c r="AR51" s="371"/>
      <c r="AS51" s="371"/>
      <c r="AT51" s="371"/>
      <c r="AU51" s="371"/>
      <c r="AV51" s="371"/>
      <c r="AW51" s="371"/>
      <c r="AX51" s="371"/>
      <c r="AY51" s="371"/>
      <c r="AZ51" s="371"/>
      <c r="BA51" s="371"/>
      <c r="BB51" s="371"/>
      <c r="BC51" s="371"/>
      <c r="BD51" s="371"/>
      <c r="BE51" s="371"/>
      <c r="BF51" s="371"/>
      <c r="BG51" s="371"/>
      <c r="BH51" s="371"/>
      <c r="BI51" s="371"/>
      <c r="BJ51" s="371"/>
      <c r="BK51" s="371"/>
      <c r="BL51" s="371"/>
      <c r="BM51" s="371"/>
      <c r="BN51" s="371"/>
      <c r="BO51" s="371"/>
      <c r="BP51" s="371"/>
      <c r="BQ51" s="371"/>
      <c r="BR51" s="371"/>
      <c r="BS51" s="371"/>
      <c r="BT51" s="371"/>
      <c r="BU51" s="371"/>
      <c r="BV51" s="371"/>
      <c r="BW51" s="371"/>
      <c r="BX51" s="371"/>
      <c r="BY51" s="371"/>
      <c r="BZ51" s="371"/>
      <c r="CA51" s="371"/>
      <c r="CB51" s="371"/>
      <c r="CC51" s="371"/>
      <c r="CD51" s="371"/>
      <c r="CE51" s="371"/>
      <c r="CF51" s="371"/>
      <c r="CG51" s="371"/>
      <c r="CH51" s="371"/>
      <c r="CI51" s="371"/>
      <c r="CJ51" s="371"/>
      <c r="CK51" s="371"/>
      <c r="CL51" s="371"/>
    </row>
    <row r="52" spans="1:90" x14ac:dyDescent="0.3">
      <c r="A52" s="371"/>
      <c r="B52" s="371"/>
      <c r="C52" s="371"/>
      <c r="D52" s="371"/>
      <c r="E52" s="371"/>
      <c r="F52" s="371"/>
      <c r="G52" s="371"/>
      <c r="H52" s="570"/>
      <c r="I52" s="570"/>
      <c r="J52" s="570"/>
      <c r="K52" s="570"/>
      <c r="L52" s="371"/>
      <c r="M52" s="371"/>
      <c r="N52" s="371"/>
      <c r="O52" s="371"/>
      <c r="P52" s="371"/>
      <c r="Q52" s="371"/>
      <c r="R52" s="371"/>
      <c r="S52" s="371"/>
      <c r="T52" s="371"/>
      <c r="U52" s="371"/>
      <c r="V52" s="371"/>
      <c r="W52" s="371"/>
      <c r="X52" s="371"/>
      <c r="Y52" s="371"/>
      <c r="Z52" s="371"/>
      <c r="AA52" s="371"/>
      <c r="AB52" s="371"/>
      <c r="AC52" s="371"/>
      <c r="AD52" s="371"/>
      <c r="AE52" s="371"/>
      <c r="AF52" s="371"/>
      <c r="AG52" s="371"/>
      <c r="AH52" s="371"/>
      <c r="AI52" s="371"/>
      <c r="AJ52" s="371"/>
      <c r="AK52" s="371"/>
      <c r="AL52" s="371"/>
      <c r="AM52" s="371"/>
      <c r="AN52" s="371"/>
      <c r="AO52" s="371"/>
      <c r="AP52" s="371"/>
      <c r="AQ52" s="371"/>
      <c r="AR52" s="371"/>
      <c r="AS52" s="371"/>
      <c r="AT52" s="371"/>
      <c r="AU52" s="371"/>
      <c r="AV52" s="371"/>
      <c r="AW52" s="371"/>
      <c r="AX52" s="371"/>
      <c r="AY52" s="371"/>
      <c r="AZ52" s="371"/>
      <c r="BA52" s="371"/>
      <c r="BB52" s="371"/>
      <c r="BC52" s="371"/>
      <c r="BD52" s="371"/>
      <c r="BE52" s="371"/>
      <c r="BF52" s="371"/>
      <c r="BG52" s="371"/>
      <c r="BH52" s="371"/>
      <c r="BI52" s="371"/>
      <c r="BJ52" s="371"/>
      <c r="BK52" s="371"/>
      <c r="BL52" s="371"/>
      <c r="BM52" s="371"/>
      <c r="BN52" s="371"/>
      <c r="BO52" s="371"/>
      <c r="BP52" s="371"/>
      <c r="BQ52" s="371"/>
      <c r="BR52" s="371"/>
      <c r="BS52" s="371"/>
      <c r="BT52" s="371"/>
      <c r="BU52" s="371"/>
      <c r="BV52" s="371"/>
      <c r="BW52" s="371"/>
      <c r="BX52" s="371"/>
      <c r="BY52" s="371"/>
      <c r="BZ52" s="371"/>
      <c r="CA52" s="371"/>
      <c r="CB52" s="371"/>
      <c r="CC52" s="371"/>
      <c r="CD52" s="371"/>
      <c r="CE52" s="371"/>
      <c r="CF52" s="371"/>
      <c r="CG52" s="371"/>
      <c r="CH52" s="371"/>
      <c r="CI52" s="371"/>
      <c r="CJ52" s="371"/>
      <c r="CK52" s="371"/>
      <c r="CL52" s="371"/>
    </row>
    <row r="53" spans="1:90" x14ac:dyDescent="0.3">
      <c r="A53" s="371"/>
      <c r="B53" s="371"/>
      <c r="C53" s="546"/>
      <c r="D53" s="371"/>
      <c r="E53" s="371"/>
      <c r="F53" s="371"/>
      <c r="G53" s="371"/>
      <c r="H53" s="371"/>
      <c r="I53" s="371"/>
      <c r="J53" s="371"/>
      <c r="K53" s="371"/>
      <c r="L53" s="371"/>
      <c r="M53" s="371"/>
      <c r="N53" s="371"/>
      <c r="O53" s="371"/>
      <c r="P53" s="371"/>
      <c r="Q53" s="371"/>
      <c r="R53" s="371"/>
      <c r="S53" s="371"/>
      <c r="T53" s="371"/>
      <c r="U53" s="371"/>
      <c r="V53" s="371"/>
      <c r="W53" s="371"/>
      <c r="X53" s="371"/>
      <c r="Y53" s="371"/>
      <c r="Z53" s="371"/>
      <c r="AA53" s="371"/>
      <c r="AB53" s="371"/>
      <c r="AC53" s="371"/>
      <c r="AD53" s="371"/>
      <c r="AE53" s="371"/>
      <c r="AF53" s="371"/>
      <c r="AG53" s="371"/>
      <c r="AH53" s="371"/>
      <c r="AI53" s="371"/>
      <c r="AJ53" s="371"/>
      <c r="AK53" s="371"/>
      <c r="AL53" s="371"/>
      <c r="AM53" s="371"/>
      <c r="AN53" s="371"/>
      <c r="AO53" s="371"/>
      <c r="AP53" s="371"/>
      <c r="AQ53" s="371"/>
      <c r="AR53" s="371"/>
      <c r="AS53" s="371"/>
      <c r="AT53" s="371"/>
      <c r="AU53" s="371"/>
      <c r="AV53" s="371"/>
      <c r="AW53" s="371"/>
      <c r="AX53" s="371"/>
      <c r="AY53" s="371"/>
      <c r="AZ53" s="371"/>
      <c r="BA53" s="371"/>
      <c r="BB53" s="371"/>
      <c r="BC53" s="371"/>
      <c r="BD53" s="371"/>
      <c r="BE53" s="371"/>
      <c r="BF53" s="371"/>
      <c r="BG53" s="371"/>
      <c r="BH53" s="371"/>
      <c r="BI53" s="371"/>
      <c r="BJ53" s="371"/>
      <c r="BK53" s="371"/>
      <c r="BL53" s="371"/>
      <c r="BM53" s="371"/>
      <c r="BN53" s="371"/>
      <c r="BO53" s="371"/>
      <c r="BP53" s="371"/>
      <c r="BQ53" s="371"/>
      <c r="BR53" s="371"/>
      <c r="BS53" s="371"/>
      <c r="BT53" s="371"/>
      <c r="BU53" s="371"/>
      <c r="BV53" s="371"/>
      <c r="BW53" s="371"/>
      <c r="BX53" s="371"/>
      <c r="BY53" s="371"/>
      <c r="BZ53" s="371"/>
      <c r="CA53" s="371"/>
      <c r="CB53" s="371"/>
      <c r="CC53" s="371"/>
      <c r="CD53" s="371"/>
      <c r="CE53" s="371"/>
      <c r="CF53" s="371"/>
      <c r="CG53" s="371"/>
      <c r="CH53" s="371"/>
      <c r="CI53" s="371"/>
      <c r="CJ53" s="371"/>
      <c r="CK53" s="371"/>
      <c r="CL53" s="371"/>
    </row>
    <row r="54" spans="1:90" x14ac:dyDescent="0.3">
      <c r="A54" s="371"/>
      <c r="B54" s="371"/>
      <c r="C54" s="546"/>
      <c r="D54" s="371"/>
      <c r="E54" s="371"/>
      <c r="F54" s="371"/>
      <c r="G54" s="371"/>
      <c r="H54" s="371"/>
      <c r="I54" s="371"/>
      <c r="J54" s="371"/>
      <c r="K54" s="371"/>
      <c r="L54" s="371"/>
      <c r="M54" s="371"/>
      <c r="N54" s="371"/>
      <c r="O54" s="371"/>
      <c r="P54" s="371"/>
      <c r="Q54" s="371"/>
      <c r="R54" s="371"/>
      <c r="S54" s="371"/>
      <c r="T54" s="371"/>
      <c r="U54" s="371"/>
      <c r="V54" s="371"/>
      <c r="W54" s="371"/>
      <c r="X54" s="371"/>
      <c r="Y54" s="371"/>
      <c r="Z54" s="371"/>
      <c r="AA54" s="371"/>
      <c r="AB54" s="371"/>
      <c r="AC54" s="371"/>
      <c r="AD54" s="371"/>
      <c r="AE54" s="371"/>
      <c r="AF54" s="371"/>
      <c r="AG54" s="371"/>
      <c r="AH54" s="371"/>
      <c r="AI54" s="371"/>
      <c r="AJ54" s="371"/>
      <c r="AK54" s="371"/>
      <c r="AL54" s="371"/>
      <c r="AM54" s="371"/>
      <c r="AN54" s="371"/>
      <c r="AO54" s="371"/>
      <c r="AP54" s="371"/>
      <c r="AQ54" s="371"/>
      <c r="AR54" s="371"/>
      <c r="AS54" s="371"/>
      <c r="AT54" s="371"/>
      <c r="AU54" s="371"/>
      <c r="AV54" s="371"/>
      <c r="AW54" s="371"/>
      <c r="AX54" s="371"/>
      <c r="AY54" s="371"/>
      <c r="AZ54" s="371"/>
      <c r="BA54" s="371"/>
      <c r="BB54" s="371"/>
      <c r="BC54" s="371"/>
      <c r="BD54" s="371"/>
      <c r="BE54" s="371"/>
      <c r="BF54" s="371"/>
      <c r="BG54" s="371"/>
      <c r="BH54" s="371"/>
      <c r="BI54" s="371"/>
      <c r="BJ54" s="371"/>
      <c r="BK54" s="371"/>
      <c r="BL54" s="371"/>
      <c r="BM54" s="371"/>
      <c r="BN54" s="371"/>
      <c r="BO54" s="371"/>
      <c r="BP54" s="371"/>
      <c r="BQ54" s="371"/>
      <c r="BR54" s="371"/>
      <c r="BS54" s="371"/>
      <c r="BT54" s="371"/>
      <c r="BU54" s="371"/>
      <c r="BV54" s="371"/>
      <c r="BW54" s="371"/>
      <c r="BX54" s="371"/>
      <c r="BY54" s="371"/>
      <c r="BZ54" s="371"/>
      <c r="CA54" s="371"/>
      <c r="CB54" s="371"/>
      <c r="CC54" s="371"/>
      <c r="CD54" s="371"/>
      <c r="CE54" s="371"/>
      <c r="CF54" s="371"/>
      <c r="CG54" s="371"/>
      <c r="CH54" s="371"/>
      <c r="CI54" s="371"/>
      <c r="CJ54" s="371"/>
      <c r="CK54" s="371"/>
      <c r="CL54" s="371"/>
    </row>
    <row r="55" spans="1:90" x14ac:dyDescent="0.3">
      <c r="A55" s="371"/>
      <c r="B55" s="371"/>
      <c r="C55" s="546"/>
      <c r="D55" s="371"/>
      <c r="E55" s="371"/>
      <c r="F55" s="371"/>
      <c r="G55" s="371"/>
      <c r="H55" s="371"/>
      <c r="I55" s="371"/>
      <c r="J55" s="371"/>
      <c r="K55" s="371"/>
      <c r="L55" s="371"/>
      <c r="M55" s="371"/>
      <c r="N55" s="371"/>
      <c r="O55" s="371"/>
      <c r="P55" s="371"/>
      <c r="Q55" s="371"/>
      <c r="R55" s="371"/>
      <c r="S55" s="371"/>
      <c r="T55" s="371"/>
      <c r="U55" s="371"/>
      <c r="V55" s="371"/>
      <c r="W55" s="371"/>
      <c r="X55" s="371"/>
      <c r="Y55" s="371"/>
      <c r="Z55" s="371"/>
      <c r="AA55" s="371"/>
      <c r="AB55" s="371"/>
      <c r="AC55" s="371"/>
      <c r="AD55" s="371"/>
      <c r="AE55" s="371"/>
      <c r="AF55" s="371"/>
      <c r="AG55" s="371"/>
      <c r="AH55" s="371"/>
      <c r="AI55" s="371"/>
      <c r="AJ55" s="371"/>
      <c r="AK55" s="371"/>
      <c r="AL55" s="371"/>
      <c r="AM55" s="371"/>
      <c r="AN55" s="371"/>
      <c r="AO55" s="371"/>
      <c r="AP55" s="371"/>
      <c r="AQ55" s="371"/>
      <c r="AR55" s="371"/>
      <c r="AS55" s="371"/>
      <c r="AT55" s="371"/>
      <c r="AU55" s="371"/>
      <c r="AV55" s="371"/>
      <c r="AW55" s="371"/>
      <c r="AX55" s="371"/>
      <c r="AY55" s="371"/>
      <c r="AZ55" s="371"/>
      <c r="BA55" s="371"/>
      <c r="BB55" s="371"/>
      <c r="BC55" s="371"/>
      <c r="BD55" s="371"/>
      <c r="BE55" s="371"/>
      <c r="BF55" s="371"/>
      <c r="BG55" s="371"/>
      <c r="BH55" s="371"/>
      <c r="BI55" s="371"/>
      <c r="BJ55" s="371"/>
      <c r="BK55" s="371"/>
      <c r="BL55" s="371"/>
      <c r="BM55" s="371"/>
      <c r="BN55" s="371"/>
      <c r="BO55" s="371"/>
      <c r="BP55" s="371"/>
      <c r="BQ55" s="371"/>
      <c r="BR55" s="371"/>
      <c r="BS55" s="371"/>
      <c r="BT55" s="371"/>
      <c r="BU55" s="371"/>
      <c r="BV55" s="371"/>
      <c r="BW55" s="371"/>
      <c r="BX55" s="371"/>
      <c r="BY55" s="371"/>
      <c r="BZ55" s="371"/>
      <c r="CA55" s="371"/>
      <c r="CB55" s="371"/>
      <c r="CC55" s="371"/>
      <c r="CD55" s="371"/>
      <c r="CE55" s="371"/>
      <c r="CF55" s="371"/>
      <c r="CG55" s="371"/>
      <c r="CH55" s="371"/>
      <c r="CI55" s="371"/>
      <c r="CJ55" s="371"/>
      <c r="CK55" s="371"/>
      <c r="CL55" s="371"/>
    </row>
    <row r="56" spans="1:90" x14ac:dyDescent="0.3">
      <c r="A56" s="371"/>
      <c r="B56" s="371"/>
      <c r="C56" s="546"/>
      <c r="D56" s="371"/>
      <c r="E56" s="371"/>
      <c r="F56" s="371"/>
      <c r="G56" s="371"/>
      <c r="H56" s="371"/>
      <c r="I56" s="371"/>
      <c r="J56" s="371"/>
      <c r="K56" s="371"/>
      <c r="L56" s="371"/>
      <c r="M56" s="371"/>
      <c r="N56" s="371"/>
      <c r="O56" s="371"/>
      <c r="P56" s="371"/>
      <c r="Q56" s="371"/>
      <c r="R56" s="371"/>
      <c r="S56" s="371"/>
      <c r="T56" s="371"/>
      <c r="U56" s="371"/>
      <c r="V56" s="371"/>
      <c r="W56" s="371"/>
      <c r="X56" s="371"/>
      <c r="Y56" s="371"/>
      <c r="Z56" s="371"/>
      <c r="AA56" s="371"/>
      <c r="AB56" s="371"/>
      <c r="AC56" s="371"/>
      <c r="AD56" s="371"/>
      <c r="AE56" s="371"/>
      <c r="AF56" s="371"/>
      <c r="AG56" s="371"/>
      <c r="AH56" s="371"/>
      <c r="AI56" s="371"/>
      <c r="AJ56" s="371"/>
      <c r="AK56" s="371"/>
      <c r="AL56" s="371"/>
      <c r="AM56" s="371"/>
      <c r="AN56" s="371"/>
      <c r="AO56" s="371"/>
      <c r="AP56" s="371"/>
      <c r="AQ56" s="371"/>
      <c r="AR56" s="371"/>
      <c r="AS56" s="371"/>
      <c r="AT56" s="371"/>
      <c r="AU56" s="371"/>
      <c r="AV56" s="371"/>
      <c r="AW56" s="371"/>
      <c r="AX56" s="371"/>
      <c r="AY56" s="371"/>
      <c r="AZ56" s="371"/>
      <c r="BA56" s="371"/>
      <c r="BB56" s="371"/>
      <c r="BC56" s="371"/>
      <c r="BD56" s="371"/>
      <c r="BE56" s="371"/>
      <c r="BF56" s="371"/>
      <c r="BG56" s="371"/>
      <c r="BH56" s="371"/>
      <c r="BI56" s="371"/>
      <c r="BJ56" s="371"/>
      <c r="BK56" s="371"/>
      <c r="BL56" s="371"/>
      <c r="BM56" s="371"/>
      <c r="BN56" s="371"/>
      <c r="BO56" s="371"/>
      <c r="BP56" s="371"/>
      <c r="BQ56" s="371"/>
      <c r="BR56" s="371"/>
      <c r="BS56" s="371"/>
      <c r="BT56" s="371"/>
      <c r="BU56" s="371"/>
      <c r="BV56" s="371"/>
      <c r="BW56" s="371"/>
      <c r="BX56" s="371"/>
      <c r="BY56" s="371"/>
      <c r="BZ56" s="371"/>
      <c r="CA56" s="371"/>
      <c r="CB56" s="371"/>
      <c r="CC56" s="371"/>
      <c r="CD56" s="371"/>
      <c r="CE56" s="371"/>
      <c r="CF56" s="371"/>
      <c r="CG56" s="371"/>
      <c r="CH56" s="371"/>
      <c r="CI56" s="371"/>
      <c r="CJ56" s="371"/>
      <c r="CK56" s="371"/>
      <c r="CL56" s="371"/>
    </row>
    <row r="57" spans="1:90" x14ac:dyDescent="0.3">
      <c r="A57" s="371"/>
      <c r="B57" s="371"/>
      <c r="C57" s="546"/>
      <c r="D57" s="371"/>
      <c r="E57" s="371"/>
      <c r="F57" s="371"/>
      <c r="G57" s="371"/>
      <c r="H57" s="371"/>
      <c r="I57" s="371"/>
      <c r="J57" s="371"/>
      <c r="K57" s="371"/>
      <c r="L57" s="371"/>
      <c r="M57" s="371"/>
      <c r="N57" s="371"/>
      <c r="O57" s="371"/>
      <c r="P57" s="371"/>
      <c r="Q57" s="371"/>
      <c r="R57" s="371"/>
      <c r="S57" s="371"/>
      <c r="T57" s="371"/>
      <c r="U57" s="371"/>
      <c r="V57" s="371"/>
      <c r="W57" s="371"/>
      <c r="X57" s="371"/>
      <c r="Y57" s="371"/>
      <c r="Z57" s="371"/>
      <c r="AA57" s="371"/>
      <c r="AB57" s="371"/>
      <c r="AC57" s="371"/>
      <c r="AD57" s="371"/>
      <c r="AE57" s="371"/>
      <c r="AF57" s="371"/>
      <c r="AG57" s="371"/>
      <c r="AH57" s="371"/>
      <c r="AI57" s="371"/>
      <c r="AJ57" s="371"/>
      <c r="AK57" s="371"/>
      <c r="AL57" s="371"/>
      <c r="AM57" s="371"/>
      <c r="AN57" s="371"/>
      <c r="AO57" s="371"/>
      <c r="AP57" s="371"/>
      <c r="AQ57" s="371"/>
      <c r="AR57" s="371"/>
      <c r="AS57" s="371"/>
      <c r="AT57" s="371"/>
      <c r="AU57" s="371"/>
      <c r="AV57" s="371"/>
      <c r="AW57" s="371"/>
      <c r="AX57" s="371"/>
      <c r="AY57" s="371"/>
      <c r="AZ57" s="371"/>
      <c r="BA57" s="371"/>
      <c r="BB57" s="371"/>
      <c r="BC57" s="371"/>
      <c r="BD57" s="371"/>
      <c r="BE57" s="371"/>
      <c r="BF57" s="371"/>
      <c r="BG57" s="371"/>
      <c r="BH57" s="371"/>
      <c r="BI57" s="371"/>
      <c r="BJ57" s="371"/>
      <c r="BK57" s="371"/>
      <c r="BL57" s="371"/>
      <c r="BM57" s="371"/>
      <c r="BN57" s="371"/>
      <c r="BO57" s="371"/>
      <c r="BP57" s="371"/>
      <c r="BQ57" s="371"/>
      <c r="BR57" s="371"/>
      <c r="BS57" s="371"/>
      <c r="BT57" s="371"/>
      <c r="BU57" s="371"/>
      <c r="BV57" s="371"/>
      <c r="BW57" s="371"/>
      <c r="BX57" s="371"/>
      <c r="BY57" s="371"/>
      <c r="BZ57" s="371"/>
      <c r="CA57" s="371"/>
      <c r="CB57" s="371"/>
      <c r="CC57" s="371"/>
      <c r="CD57" s="371"/>
      <c r="CE57" s="371"/>
      <c r="CF57" s="371"/>
      <c r="CG57" s="371"/>
      <c r="CH57" s="371"/>
      <c r="CI57" s="371"/>
      <c r="CJ57" s="371"/>
      <c r="CK57" s="371"/>
      <c r="CL57" s="371"/>
    </row>
    <row r="58" spans="1:90" x14ac:dyDescent="0.3">
      <c r="A58" s="371"/>
      <c r="B58" s="371"/>
      <c r="C58" s="546"/>
      <c r="D58" s="371"/>
      <c r="E58" s="371"/>
      <c r="F58" s="371"/>
      <c r="G58" s="371"/>
      <c r="H58" s="371"/>
      <c r="I58" s="371"/>
      <c r="J58" s="371"/>
      <c r="K58" s="371"/>
      <c r="L58" s="371"/>
      <c r="M58" s="371"/>
      <c r="N58" s="371"/>
      <c r="O58" s="371"/>
      <c r="P58" s="371"/>
      <c r="Q58" s="371"/>
      <c r="R58" s="371"/>
      <c r="S58" s="371"/>
      <c r="T58" s="371"/>
      <c r="U58" s="371"/>
      <c r="V58" s="371"/>
      <c r="W58" s="371"/>
      <c r="X58" s="371"/>
      <c r="Y58" s="371"/>
      <c r="Z58" s="371"/>
      <c r="AA58" s="371"/>
      <c r="AB58" s="371"/>
      <c r="AC58" s="371"/>
      <c r="AD58" s="371"/>
      <c r="AE58" s="371"/>
      <c r="AF58" s="371"/>
      <c r="AG58" s="371"/>
      <c r="AH58" s="371"/>
      <c r="AI58" s="371"/>
      <c r="AJ58" s="371"/>
      <c r="AK58" s="371"/>
      <c r="AL58" s="371"/>
      <c r="AM58" s="371"/>
      <c r="AN58" s="371"/>
      <c r="AO58" s="371"/>
      <c r="AP58" s="371"/>
      <c r="AQ58" s="371"/>
      <c r="AR58" s="371"/>
      <c r="AS58" s="371"/>
      <c r="AT58" s="371"/>
      <c r="AU58" s="371"/>
      <c r="AV58" s="371"/>
      <c r="AW58" s="371"/>
      <c r="AX58" s="371"/>
      <c r="AY58" s="371"/>
      <c r="AZ58" s="371"/>
      <c r="BA58" s="371"/>
      <c r="BB58" s="371"/>
      <c r="BC58" s="371"/>
      <c r="BD58" s="371"/>
      <c r="BE58" s="371"/>
      <c r="BF58" s="371"/>
      <c r="BG58" s="371"/>
      <c r="BH58" s="371"/>
      <c r="BI58" s="371"/>
      <c r="BJ58" s="371"/>
      <c r="BK58" s="371"/>
      <c r="BL58" s="371"/>
      <c r="BM58" s="371"/>
      <c r="BN58" s="371"/>
      <c r="BO58" s="371"/>
      <c r="BP58" s="371"/>
      <c r="BQ58" s="371"/>
      <c r="BR58" s="371"/>
      <c r="BS58" s="371"/>
      <c r="BT58" s="371"/>
      <c r="BU58" s="371"/>
      <c r="BV58" s="371"/>
      <c r="BW58" s="371"/>
      <c r="BX58" s="371"/>
      <c r="BY58" s="371"/>
      <c r="BZ58" s="371"/>
      <c r="CA58" s="371"/>
      <c r="CB58" s="371"/>
      <c r="CC58" s="371"/>
      <c r="CD58" s="371"/>
      <c r="CE58" s="371"/>
      <c r="CF58" s="371"/>
      <c r="CG58" s="371"/>
      <c r="CH58" s="371"/>
      <c r="CI58" s="371"/>
      <c r="CJ58" s="371"/>
      <c r="CK58" s="371"/>
      <c r="CL58" s="371"/>
    </row>
    <row r="59" spans="1:90" x14ac:dyDescent="0.3">
      <c r="A59" s="371"/>
      <c r="B59" s="371"/>
      <c r="C59" s="371"/>
      <c r="D59" s="371"/>
      <c r="E59" s="371"/>
      <c r="F59" s="371"/>
      <c r="G59" s="371"/>
      <c r="H59" s="371"/>
      <c r="I59" s="371"/>
      <c r="J59" s="371"/>
      <c r="K59" s="371"/>
      <c r="L59" s="371"/>
      <c r="M59" s="371"/>
      <c r="N59" s="371"/>
      <c r="O59" s="371"/>
      <c r="P59" s="371"/>
      <c r="Q59" s="371"/>
      <c r="R59" s="371"/>
      <c r="S59" s="371"/>
      <c r="T59" s="371"/>
      <c r="U59" s="371"/>
      <c r="V59" s="371"/>
      <c r="W59" s="371"/>
      <c r="X59" s="371"/>
      <c r="Y59" s="371"/>
      <c r="Z59" s="371"/>
      <c r="AA59" s="371"/>
      <c r="AB59" s="371"/>
      <c r="AC59" s="371"/>
      <c r="AD59" s="371"/>
      <c r="AE59" s="371"/>
      <c r="AF59" s="371"/>
      <c r="AG59" s="371"/>
      <c r="AH59" s="371"/>
      <c r="AI59" s="371"/>
      <c r="AJ59" s="371"/>
      <c r="AK59" s="371"/>
      <c r="AL59" s="371"/>
      <c r="AM59" s="371"/>
      <c r="AN59" s="371"/>
      <c r="AO59" s="371"/>
      <c r="AP59" s="371"/>
      <c r="AQ59" s="371"/>
      <c r="AR59" s="371"/>
      <c r="AS59" s="371"/>
      <c r="AT59" s="371"/>
      <c r="AU59" s="371"/>
      <c r="AV59" s="371"/>
      <c r="AW59" s="371"/>
      <c r="AX59" s="371"/>
      <c r="AY59" s="371"/>
      <c r="AZ59" s="371"/>
      <c r="BA59" s="371"/>
      <c r="BB59" s="371"/>
      <c r="BC59" s="371"/>
      <c r="BD59" s="371"/>
      <c r="BE59" s="371"/>
      <c r="BF59" s="371"/>
      <c r="BG59" s="371"/>
      <c r="BH59" s="371"/>
      <c r="BI59" s="371"/>
      <c r="BJ59" s="371"/>
      <c r="BK59" s="371"/>
      <c r="BL59" s="371"/>
      <c r="BM59" s="371"/>
      <c r="BN59" s="371"/>
      <c r="BO59" s="371"/>
      <c r="BP59" s="371"/>
      <c r="BQ59" s="371"/>
      <c r="BR59" s="371"/>
      <c r="BS59" s="371"/>
      <c r="BT59" s="371"/>
      <c r="BU59" s="371"/>
      <c r="BV59" s="371"/>
      <c r="BW59" s="371"/>
      <c r="BX59" s="371"/>
      <c r="BY59" s="371"/>
      <c r="BZ59" s="371"/>
      <c r="CA59" s="371"/>
      <c r="CB59" s="371"/>
      <c r="CC59" s="371"/>
      <c r="CD59" s="371"/>
      <c r="CE59" s="371"/>
      <c r="CF59" s="371"/>
      <c r="CG59" s="371"/>
      <c r="CH59" s="371"/>
      <c r="CI59" s="371"/>
      <c r="CJ59" s="371"/>
      <c r="CK59" s="371"/>
      <c r="CL59" s="371"/>
    </row>
    <row r="60" spans="1:90" x14ac:dyDescent="0.3">
      <c r="A60" s="371"/>
      <c r="B60" s="371"/>
      <c r="C60" s="371"/>
      <c r="D60" s="371"/>
      <c r="E60" s="371"/>
      <c r="F60" s="371"/>
      <c r="G60" s="371"/>
      <c r="H60" s="371"/>
      <c r="I60" s="371"/>
      <c r="J60" s="371"/>
      <c r="K60" s="371"/>
      <c r="L60" s="371"/>
      <c r="M60" s="371"/>
      <c r="N60" s="371"/>
      <c r="O60" s="371"/>
      <c r="P60" s="371"/>
      <c r="Q60" s="371"/>
      <c r="R60" s="371"/>
      <c r="S60" s="371"/>
      <c r="T60" s="371"/>
      <c r="U60" s="371"/>
      <c r="V60" s="371"/>
      <c r="W60" s="371"/>
      <c r="X60" s="371"/>
      <c r="Y60" s="371"/>
      <c r="Z60" s="371"/>
      <c r="AA60" s="371"/>
      <c r="AB60" s="371"/>
      <c r="AC60" s="371"/>
      <c r="AD60" s="371"/>
      <c r="AE60" s="371"/>
      <c r="AF60" s="371"/>
      <c r="AG60" s="371"/>
      <c r="AH60" s="371"/>
      <c r="AI60" s="371"/>
      <c r="AJ60" s="371"/>
      <c r="AK60" s="371"/>
      <c r="AL60" s="371"/>
      <c r="AM60" s="371"/>
      <c r="AN60" s="371"/>
      <c r="AO60" s="371"/>
      <c r="AP60" s="371"/>
      <c r="AQ60" s="371"/>
      <c r="AR60" s="371"/>
      <c r="AS60" s="371"/>
      <c r="AT60" s="371"/>
      <c r="AU60" s="371"/>
      <c r="AV60" s="371"/>
      <c r="AW60" s="371"/>
      <c r="AX60" s="371"/>
      <c r="AY60" s="371"/>
      <c r="AZ60" s="371"/>
      <c r="BA60" s="371"/>
      <c r="BB60" s="371"/>
      <c r="BC60" s="371"/>
      <c r="BD60" s="371"/>
      <c r="BE60" s="371"/>
      <c r="BF60" s="371"/>
      <c r="BG60" s="371"/>
      <c r="BH60" s="371"/>
      <c r="BI60" s="371"/>
      <c r="BJ60" s="371"/>
      <c r="BK60" s="371"/>
      <c r="BL60" s="371"/>
      <c r="BM60" s="371"/>
      <c r="BN60" s="371"/>
      <c r="BO60" s="371"/>
      <c r="BP60" s="371"/>
      <c r="BQ60" s="371"/>
      <c r="BR60" s="371"/>
      <c r="BS60" s="371"/>
      <c r="BT60" s="371"/>
      <c r="BU60" s="371"/>
      <c r="BV60" s="371"/>
      <c r="BW60" s="371"/>
      <c r="BX60" s="371"/>
      <c r="BY60" s="371"/>
      <c r="BZ60" s="371"/>
      <c r="CA60" s="371"/>
      <c r="CB60" s="371"/>
      <c r="CC60" s="371"/>
      <c r="CD60" s="371"/>
      <c r="CE60" s="371"/>
      <c r="CF60" s="371"/>
      <c r="CG60" s="371"/>
      <c r="CH60" s="371"/>
      <c r="CI60" s="371"/>
      <c r="CJ60" s="371"/>
      <c r="CK60" s="371"/>
      <c r="CL60" s="371"/>
    </row>
    <row r="61" spans="1:90" x14ac:dyDescent="0.3">
      <c r="A61" s="371"/>
      <c r="B61" s="371"/>
      <c r="C61" s="371"/>
      <c r="D61" s="371"/>
      <c r="E61" s="371"/>
      <c r="F61" s="371"/>
      <c r="G61" s="371"/>
      <c r="H61" s="371"/>
      <c r="I61" s="371"/>
      <c r="J61" s="371"/>
      <c r="K61" s="371"/>
      <c r="L61" s="371"/>
      <c r="M61" s="371"/>
      <c r="N61" s="371"/>
      <c r="O61" s="371"/>
      <c r="P61" s="371"/>
      <c r="Q61" s="371"/>
      <c r="R61" s="371"/>
      <c r="S61" s="371"/>
      <c r="T61" s="371"/>
      <c r="U61" s="371"/>
      <c r="V61" s="371"/>
      <c r="W61" s="371"/>
      <c r="X61" s="371"/>
      <c r="Y61" s="371"/>
      <c r="Z61" s="371"/>
      <c r="AA61" s="371"/>
      <c r="AB61" s="371"/>
      <c r="AC61" s="371"/>
      <c r="AD61" s="371"/>
      <c r="AE61" s="371"/>
      <c r="AF61" s="371"/>
      <c r="AG61" s="371"/>
      <c r="AH61" s="371"/>
      <c r="AI61" s="371"/>
      <c r="AJ61" s="371"/>
      <c r="AK61" s="371"/>
      <c r="AL61" s="371"/>
      <c r="AM61" s="371"/>
      <c r="AN61" s="371"/>
      <c r="AO61" s="371"/>
      <c r="AP61" s="371"/>
      <c r="AQ61" s="371"/>
      <c r="AR61" s="371"/>
      <c r="AS61" s="371"/>
      <c r="AT61" s="371"/>
      <c r="AU61" s="371"/>
      <c r="AV61" s="371"/>
      <c r="AW61" s="371"/>
      <c r="AX61" s="371"/>
      <c r="AY61" s="371"/>
      <c r="AZ61" s="371"/>
      <c r="BA61" s="371"/>
      <c r="BB61" s="371"/>
      <c r="BC61" s="371"/>
      <c r="BD61" s="371"/>
      <c r="BE61" s="371"/>
      <c r="BF61" s="371"/>
      <c r="BG61" s="371"/>
      <c r="BH61" s="371"/>
      <c r="BI61" s="371"/>
      <c r="BJ61" s="371"/>
      <c r="BK61" s="371"/>
      <c r="BL61" s="371"/>
      <c r="BM61" s="371"/>
      <c r="BN61" s="371"/>
      <c r="BO61" s="371"/>
      <c r="BP61" s="371"/>
      <c r="BQ61" s="371"/>
      <c r="BR61" s="371"/>
      <c r="BS61" s="371"/>
      <c r="BT61" s="371"/>
      <c r="BU61" s="371"/>
      <c r="BV61" s="371"/>
      <c r="BW61" s="371"/>
      <c r="BX61" s="371"/>
      <c r="BY61" s="371"/>
      <c r="BZ61" s="371"/>
      <c r="CA61" s="371"/>
      <c r="CB61" s="371"/>
      <c r="CC61" s="371"/>
      <c r="CD61" s="371"/>
      <c r="CE61" s="371"/>
      <c r="CF61" s="371"/>
      <c r="CG61" s="371"/>
      <c r="CH61" s="371"/>
      <c r="CI61" s="371"/>
      <c r="CJ61" s="371"/>
      <c r="CK61" s="371"/>
      <c r="CL61" s="371"/>
    </row>
    <row r="62" spans="1:90" x14ac:dyDescent="0.3">
      <c r="A62" s="371"/>
      <c r="B62" s="371"/>
      <c r="C62" s="371"/>
      <c r="D62" s="371"/>
      <c r="E62" s="371"/>
      <c r="F62" s="371"/>
      <c r="G62" s="371"/>
      <c r="H62" s="371"/>
      <c r="I62" s="371"/>
      <c r="J62" s="371"/>
      <c r="K62" s="371"/>
      <c r="L62" s="371"/>
      <c r="M62" s="371"/>
      <c r="N62" s="371"/>
      <c r="O62" s="371"/>
      <c r="P62" s="371"/>
      <c r="Q62" s="371"/>
      <c r="R62" s="371"/>
      <c r="S62" s="371"/>
      <c r="T62" s="371"/>
      <c r="U62" s="371"/>
      <c r="V62" s="371"/>
      <c r="W62" s="371"/>
      <c r="X62" s="371"/>
      <c r="Y62" s="371"/>
      <c r="Z62" s="371"/>
      <c r="AA62" s="371"/>
      <c r="AB62" s="371"/>
      <c r="AC62" s="371"/>
      <c r="AD62" s="371"/>
      <c r="AE62" s="371"/>
      <c r="AF62" s="371"/>
      <c r="AG62" s="371"/>
      <c r="AH62" s="371"/>
      <c r="AI62" s="371"/>
      <c r="AJ62" s="371"/>
      <c r="AK62" s="371"/>
      <c r="AL62" s="371"/>
      <c r="AM62" s="371"/>
      <c r="AN62" s="371"/>
      <c r="AO62" s="371"/>
      <c r="AP62" s="371"/>
      <c r="AQ62" s="371"/>
      <c r="AR62" s="371"/>
      <c r="AS62" s="371"/>
      <c r="AT62" s="371"/>
      <c r="AU62" s="371"/>
      <c r="AV62" s="371"/>
      <c r="AW62" s="371"/>
      <c r="AX62" s="371"/>
      <c r="AY62" s="371"/>
      <c r="AZ62" s="371"/>
      <c r="BA62" s="371"/>
      <c r="BB62" s="371"/>
      <c r="BC62" s="371"/>
      <c r="BD62" s="371"/>
      <c r="BE62" s="371"/>
      <c r="BF62" s="371"/>
      <c r="BG62" s="371"/>
      <c r="BH62" s="371"/>
      <c r="BI62" s="371"/>
      <c r="BJ62" s="371"/>
      <c r="BK62" s="371"/>
      <c r="BL62" s="371"/>
      <c r="BM62" s="371"/>
      <c r="BN62" s="371"/>
      <c r="BO62" s="371"/>
      <c r="BP62" s="371"/>
      <c r="BQ62" s="371"/>
      <c r="BR62" s="371"/>
      <c r="BS62" s="371"/>
      <c r="BT62" s="371"/>
      <c r="BU62" s="371"/>
      <c r="BV62" s="371"/>
      <c r="BW62" s="371"/>
      <c r="BX62" s="371"/>
      <c r="BY62" s="371"/>
      <c r="BZ62" s="371"/>
      <c r="CA62" s="371"/>
      <c r="CB62" s="371"/>
      <c r="CC62" s="371"/>
      <c r="CD62" s="371"/>
      <c r="CE62" s="371"/>
      <c r="CF62" s="371"/>
      <c r="CG62" s="371"/>
      <c r="CH62" s="371"/>
      <c r="CI62" s="371"/>
      <c r="CJ62" s="371"/>
      <c r="CK62" s="371"/>
      <c r="CL62" s="371"/>
    </row>
    <row r="63" spans="1:90" x14ac:dyDescent="0.3">
      <c r="A63" s="371"/>
      <c r="B63" s="371"/>
      <c r="C63" s="371"/>
      <c r="D63" s="371"/>
      <c r="E63" s="371"/>
      <c r="F63" s="371"/>
      <c r="G63" s="371"/>
      <c r="H63" s="371"/>
      <c r="I63" s="371"/>
      <c r="J63" s="371"/>
      <c r="K63" s="371"/>
      <c r="L63" s="371"/>
      <c r="M63" s="371"/>
      <c r="N63" s="371"/>
      <c r="O63" s="371"/>
      <c r="P63" s="371"/>
      <c r="Q63" s="371"/>
      <c r="R63" s="371"/>
      <c r="S63" s="371"/>
      <c r="T63" s="371"/>
      <c r="U63" s="371"/>
      <c r="V63" s="371"/>
      <c r="W63" s="371"/>
      <c r="X63" s="371"/>
      <c r="Y63" s="371"/>
      <c r="Z63" s="371"/>
      <c r="AA63" s="371"/>
      <c r="AB63" s="371"/>
      <c r="AC63" s="371"/>
      <c r="AD63" s="371"/>
      <c r="AE63" s="371"/>
      <c r="AF63" s="371"/>
      <c r="AG63" s="371"/>
      <c r="AH63" s="371"/>
      <c r="AI63" s="371"/>
      <c r="AJ63" s="371"/>
      <c r="AK63" s="371"/>
      <c r="AL63" s="371"/>
      <c r="AM63" s="371"/>
      <c r="AN63" s="371"/>
      <c r="AO63" s="371"/>
      <c r="AP63" s="371"/>
      <c r="AQ63" s="371"/>
      <c r="AR63" s="371"/>
      <c r="AS63" s="371"/>
      <c r="AT63" s="371"/>
      <c r="AU63" s="371"/>
      <c r="AV63" s="371"/>
      <c r="AW63" s="371"/>
      <c r="AX63" s="371"/>
      <c r="AY63" s="371"/>
      <c r="AZ63" s="371"/>
      <c r="BA63" s="371"/>
      <c r="BB63" s="371"/>
      <c r="BC63" s="371"/>
      <c r="BD63" s="371"/>
      <c r="BE63" s="371"/>
      <c r="BF63" s="371"/>
      <c r="BG63" s="371"/>
      <c r="BH63" s="371"/>
      <c r="BI63" s="371"/>
      <c r="BJ63" s="371"/>
      <c r="BK63" s="371"/>
      <c r="BL63" s="371"/>
      <c r="BM63" s="371"/>
      <c r="BN63" s="371"/>
      <c r="BO63" s="371"/>
      <c r="BP63" s="371"/>
      <c r="BQ63" s="371"/>
      <c r="BR63" s="371"/>
      <c r="BS63" s="371"/>
      <c r="BT63" s="371"/>
      <c r="BU63" s="371"/>
      <c r="BV63" s="371"/>
      <c r="BW63" s="371"/>
      <c r="BX63" s="371"/>
      <c r="BY63" s="371"/>
      <c r="BZ63" s="371"/>
      <c r="CA63" s="371"/>
      <c r="CB63" s="371"/>
      <c r="CC63" s="371"/>
      <c r="CD63" s="371"/>
      <c r="CE63" s="371"/>
      <c r="CF63" s="371"/>
      <c r="CG63" s="371"/>
      <c r="CH63" s="371"/>
      <c r="CI63" s="371"/>
      <c r="CJ63" s="371"/>
      <c r="CK63" s="371"/>
      <c r="CL63" s="371"/>
    </row>
    <row r="64" spans="1:90" x14ac:dyDescent="0.3">
      <c r="A64" s="371"/>
      <c r="B64" s="371"/>
      <c r="C64" s="371"/>
      <c r="D64" s="371"/>
      <c r="E64" s="371"/>
      <c r="F64" s="371"/>
      <c r="G64" s="371"/>
      <c r="H64" s="371"/>
      <c r="I64" s="371"/>
      <c r="J64" s="371"/>
      <c r="K64" s="371"/>
      <c r="L64" s="371"/>
      <c r="M64" s="371"/>
      <c r="N64" s="371"/>
      <c r="O64" s="371"/>
      <c r="P64" s="371"/>
      <c r="Q64" s="371"/>
      <c r="R64" s="371"/>
      <c r="S64" s="371"/>
      <c r="T64" s="371"/>
      <c r="U64" s="371"/>
      <c r="V64" s="371"/>
      <c r="W64" s="371"/>
      <c r="X64" s="371"/>
      <c r="Y64" s="371"/>
      <c r="Z64" s="371"/>
      <c r="AA64" s="371"/>
      <c r="AB64" s="371"/>
      <c r="AC64" s="371"/>
      <c r="AD64" s="371"/>
      <c r="AE64" s="371"/>
      <c r="AF64" s="371"/>
      <c r="AG64" s="371"/>
      <c r="AH64" s="371"/>
      <c r="AI64" s="371"/>
      <c r="AJ64" s="371"/>
      <c r="AK64" s="371"/>
      <c r="AL64" s="371"/>
      <c r="AM64" s="371"/>
      <c r="AN64" s="371"/>
      <c r="AO64" s="371"/>
      <c r="AP64" s="371"/>
      <c r="AQ64" s="371"/>
      <c r="AR64" s="371"/>
      <c r="AS64" s="371"/>
      <c r="AT64" s="371"/>
      <c r="AU64" s="371"/>
      <c r="AV64" s="371"/>
      <c r="AW64" s="371"/>
      <c r="AX64" s="371"/>
      <c r="AY64" s="371"/>
      <c r="AZ64" s="371"/>
      <c r="BA64" s="371"/>
      <c r="BB64" s="371"/>
      <c r="BC64" s="371"/>
      <c r="BD64" s="371"/>
      <c r="BE64" s="371"/>
      <c r="BF64" s="371"/>
      <c r="BG64" s="371"/>
      <c r="BH64" s="371"/>
      <c r="BI64" s="371"/>
      <c r="BJ64" s="371"/>
      <c r="BK64" s="371"/>
      <c r="BL64" s="371"/>
      <c r="BM64" s="371"/>
      <c r="BN64" s="371"/>
      <c r="BO64" s="371"/>
      <c r="BP64" s="371"/>
      <c r="BQ64" s="371"/>
      <c r="BR64" s="371"/>
      <c r="BS64" s="371"/>
      <c r="BT64" s="371"/>
      <c r="BU64" s="371"/>
      <c r="BV64" s="371"/>
      <c r="BW64" s="371"/>
      <c r="BX64" s="371"/>
      <c r="BY64" s="371"/>
      <c r="BZ64" s="371"/>
      <c r="CA64" s="371"/>
      <c r="CB64" s="371"/>
      <c r="CC64" s="371"/>
      <c r="CD64" s="371"/>
      <c r="CE64" s="371"/>
      <c r="CF64" s="371"/>
      <c r="CG64" s="371"/>
      <c r="CH64" s="371"/>
      <c r="CI64" s="371"/>
      <c r="CJ64" s="371"/>
      <c r="CK64" s="371"/>
      <c r="CL64" s="371"/>
    </row>
    <row r="65" spans="1:90" x14ac:dyDescent="0.3">
      <c r="A65" s="371"/>
      <c r="B65" s="371"/>
      <c r="C65" s="371"/>
      <c r="D65" s="371"/>
      <c r="E65" s="371"/>
      <c r="F65" s="371"/>
      <c r="G65" s="371"/>
      <c r="H65" s="371"/>
      <c r="I65" s="371"/>
      <c r="J65" s="371"/>
      <c r="K65" s="371"/>
      <c r="L65" s="371"/>
      <c r="M65" s="371"/>
      <c r="N65" s="371"/>
      <c r="O65" s="371"/>
      <c r="P65" s="371"/>
      <c r="Q65" s="371"/>
      <c r="R65" s="371"/>
      <c r="S65" s="371"/>
      <c r="T65" s="371"/>
      <c r="U65" s="371"/>
      <c r="V65" s="371"/>
      <c r="W65" s="371"/>
      <c r="X65" s="371"/>
      <c r="Y65" s="371"/>
      <c r="Z65" s="371"/>
      <c r="AA65" s="371"/>
      <c r="AB65" s="371"/>
      <c r="AC65" s="371"/>
      <c r="AD65" s="371"/>
      <c r="AE65" s="371"/>
      <c r="AF65" s="371"/>
      <c r="AG65" s="371"/>
      <c r="AH65" s="371"/>
      <c r="AI65" s="371"/>
      <c r="AJ65" s="371"/>
      <c r="AK65" s="371"/>
      <c r="AL65" s="371"/>
      <c r="AM65" s="371"/>
      <c r="AN65" s="371"/>
      <c r="AO65" s="371"/>
      <c r="AP65" s="371"/>
      <c r="AQ65" s="371"/>
      <c r="AR65" s="371"/>
      <c r="AS65" s="371"/>
      <c r="AT65" s="371"/>
      <c r="AU65" s="371"/>
      <c r="AV65" s="371"/>
      <c r="AW65" s="371"/>
      <c r="AX65" s="371"/>
      <c r="AY65" s="371"/>
      <c r="AZ65" s="371"/>
      <c r="BA65" s="371"/>
      <c r="BB65" s="371"/>
      <c r="BC65" s="371"/>
      <c r="BD65" s="371"/>
      <c r="BE65" s="371"/>
      <c r="BF65" s="371"/>
      <c r="BG65" s="371"/>
      <c r="BH65" s="371"/>
      <c r="BI65" s="371"/>
      <c r="BJ65" s="371"/>
      <c r="BK65" s="371"/>
      <c r="BL65" s="371"/>
      <c r="BM65" s="371"/>
      <c r="BN65" s="371"/>
      <c r="BO65" s="371"/>
      <c r="BP65" s="371"/>
      <c r="BQ65" s="371"/>
      <c r="BR65" s="371"/>
      <c r="BS65" s="371"/>
      <c r="BT65" s="371"/>
      <c r="BU65" s="371"/>
      <c r="BV65" s="371"/>
      <c r="BW65" s="371"/>
      <c r="BX65" s="371"/>
      <c r="BY65" s="371"/>
      <c r="BZ65" s="371"/>
      <c r="CA65" s="371"/>
      <c r="CB65" s="371"/>
      <c r="CC65" s="371"/>
      <c r="CD65" s="371"/>
      <c r="CE65" s="371"/>
      <c r="CF65" s="371"/>
      <c r="CG65" s="371"/>
      <c r="CH65" s="371"/>
      <c r="CI65" s="371"/>
      <c r="CJ65" s="371"/>
      <c r="CK65" s="371"/>
      <c r="CL65" s="371"/>
    </row>
    <row r="66" spans="1:90" x14ac:dyDescent="0.3">
      <c r="A66" s="371"/>
      <c r="B66" s="371"/>
      <c r="C66" s="371"/>
      <c r="D66" s="371"/>
      <c r="E66" s="371"/>
      <c r="F66" s="371"/>
      <c r="G66" s="371"/>
      <c r="H66" s="371"/>
      <c r="I66" s="371"/>
      <c r="J66" s="371"/>
      <c r="K66" s="371"/>
      <c r="L66" s="371"/>
      <c r="M66" s="371"/>
      <c r="N66" s="371"/>
      <c r="O66" s="371"/>
      <c r="P66" s="371"/>
      <c r="Q66" s="371"/>
      <c r="R66" s="371"/>
      <c r="S66" s="371"/>
      <c r="T66" s="371"/>
      <c r="U66" s="371"/>
      <c r="V66" s="371"/>
      <c r="W66" s="371"/>
      <c r="X66" s="371"/>
      <c r="Y66" s="371"/>
      <c r="Z66" s="371"/>
      <c r="AA66" s="371"/>
      <c r="AB66" s="371"/>
      <c r="AC66" s="371"/>
      <c r="AD66" s="371"/>
      <c r="AE66" s="371"/>
      <c r="AF66" s="371"/>
      <c r="AG66" s="371"/>
      <c r="AH66" s="371"/>
      <c r="AI66" s="371"/>
      <c r="AJ66" s="371"/>
      <c r="AK66" s="371"/>
      <c r="AL66" s="371"/>
      <c r="AM66" s="371"/>
      <c r="AN66" s="371"/>
      <c r="AO66" s="371"/>
      <c r="AP66" s="371"/>
      <c r="AQ66" s="371"/>
      <c r="AR66" s="371"/>
      <c r="AS66" s="371"/>
      <c r="AT66" s="371"/>
      <c r="AU66" s="371"/>
      <c r="AV66" s="371"/>
      <c r="AW66" s="371"/>
      <c r="AX66" s="371"/>
      <c r="AY66" s="371"/>
      <c r="AZ66" s="371"/>
      <c r="BA66" s="371"/>
      <c r="BB66" s="371"/>
      <c r="BC66" s="371"/>
      <c r="BD66" s="371"/>
      <c r="BE66" s="371"/>
      <c r="BF66" s="371"/>
      <c r="BG66" s="371"/>
      <c r="BH66" s="371"/>
      <c r="BI66" s="371"/>
      <c r="BJ66" s="371"/>
      <c r="BK66" s="371"/>
      <c r="BL66" s="371"/>
      <c r="BM66" s="371"/>
      <c r="BN66" s="371"/>
      <c r="BO66" s="371"/>
      <c r="BP66" s="371"/>
      <c r="BQ66" s="371"/>
      <c r="BR66" s="371"/>
      <c r="BS66" s="371"/>
      <c r="BT66" s="371"/>
      <c r="BU66" s="371"/>
      <c r="BV66" s="371"/>
      <c r="BW66" s="371"/>
      <c r="BX66" s="371"/>
      <c r="BY66" s="371"/>
      <c r="BZ66" s="371"/>
      <c r="CA66" s="371"/>
      <c r="CB66" s="371"/>
      <c r="CC66" s="371"/>
      <c r="CD66" s="371"/>
      <c r="CE66" s="371"/>
      <c r="CF66" s="371"/>
      <c r="CG66" s="371"/>
      <c r="CH66" s="371"/>
      <c r="CI66" s="371"/>
      <c r="CJ66" s="371"/>
      <c r="CK66" s="371"/>
      <c r="CL66" s="371"/>
    </row>
    <row r="67" spans="1:90" x14ac:dyDescent="0.3">
      <c r="A67" s="371"/>
      <c r="B67" s="371"/>
      <c r="C67" s="371"/>
      <c r="D67" s="371"/>
      <c r="E67" s="371"/>
      <c r="F67" s="371"/>
      <c r="G67" s="371"/>
      <c r="H67" s="371"/>
      <c r="I67" s="371"/>
      <c r="J67" s="371"/>
      <c r="K67" s="371"/>
      <c r="L67" s="371"/>
      <c r="M67" s="371"/>
      <c r="N67" s="371"/>
      <c r="O67" s="371"/>
      <c r="P67" s="371"/>
      <c r="Q67" s="371"/>
      <c r="R67" s="371"/>
      <c r="S67" s="371"/>
      <c r="T67" s="371"/>
      <c r="U67" s="371"/>
      <c r="V67" s="371"/>
      <c r="W67" s="371"/>
      <c r="X67" s="371"/>
      <c r="Y67" s="371"/>
      <c r="Z67" s="371"/>
      <c r="AA67" s="371"/>
      <c r="AB67" s="371"/>
      <c r="AC67" s="371"/>
      <c r="AD67" s="371"/>
      <c r="AE67" s="371"/>
      <c r="AF67" s="371"/>
      <c r="AG67" s="371"/>
      <c r="AH67" s="371"/>
      <c r="AI67" s="371"/>
      <c r="AJ67" s="371"/>
      <c r="AK67" s="371"/>
      <c r="AL67" s="371"/>
      <c r="AM67" s="371"/>
      <c r="AN67" s="371"/>
      <c r="AO67" s="371"/>
      <c r="AP67" s="371"/>
      <c r="AQ67" s="371"/>
      <c r="AR67" s="371"/>
      <c r="AS67" s="371"/>
      <c r="AT67" s="371"/>
      <c r="AU67" s="371"/>
      <c r="AV67" s="371"/>
      <c r="AW67" s="371"/>
      <c r="AX67" s="371"/>
      <c r="AY67" s="371"/>
      <c r="AZ67" s="371"/>
      <c r="BA67" s="371"/>
      <c r="BB67" s="371"/>
      <c r="BC67" s="371"/>
      <c r="BD67" s="371"/>
      <c r="BE67" s="371"/>
      <c r="BF67" s="371"/>
      <c r="BG67" s="371"/>
      <c r="BH67" s="371"/>
      <c r="BI67" s="371"/>
      <c r="BJ67" s="371"/>
      <c r="BK67" s="371"/>
      <c r="BL67" s="371"/>
      <c r="BM67" s="371"/>
      <c r="BN67" s="371"/>
      <c r="BO67" s="371"/>
      <c r="BP67" s="371"/>
      <c r="BQ67" s="371"/>
      <c r="BR67" s="371"/>
      <c r="BS67" s="371"/>
      <c r="BT67" s="371"/>
      <c r="BU67" s="371"/>
      <c r="BV67" s="371"/>
      <c r="BW67" s="371"/>
      <c r="BX67" s="371"/>
      <c r="BY67" s="371"/>
      <c r="BZ67" s="371"/>
      <c r="CA67" s="371"/>
      <c r="CB67" s="371"/>
      <c r="CC67" s="371"/>
      <c r="CD67" s="371"/>
      <c r="CE67" s="371"/>
      <c r="CF67" s="371"/>
      <c r="CG67" s="371"/>
      <c r="CH67" s="371"/>
      <c r="CI67" s="371"/>
      <c r="CJ67" s="371"/>
      <c r="CK67" s="371"/>
      <c r="CL67" s="371"/>
    </row>
    <row r="68" spans="1:90" x14ac:dyDescent="0.3">
      <c r="A68" s="371"/>
      <c r="B68" s="371"/>
      <c r="C68" s="371"/>
      <c r="D68" s="371"/>
      <c r="E68" s="371"/>
      <c r="F68" s="371"/>
      <c r="G68" s="371"/>
      <c r="H68" s="371"/>
      <c r="I68" s="371"/>
      <c r="J68" s="371"/>
      <c r="K68" s="371"/>
      <c r="L68" s="371"/>
      <c r="M68" s="371"/>
      <c r="N68" s="371"/>
      <c r="O68" s="371"/>
      <c r="P68" s="371"/>
      <c r="Q68" s="371"/>
      <c r="R68" s="371"/>
      <c r="S68" s="371"/>
      <c r="T68" s="371"/>
      <c r="U68" s="371"/>
      <c r="V68" s="371"/>
      <c r="W68" s="371"/>
      <c r="X68" s="371"/>
      <c r="Y68" s="371"/>
      <c r="Z68" s="371"/>
      <c r="AA68" s="371"/>
      <c r="AB68" s="371"/>
      <c r="AC68" s="371"/>
      <c r="AD68" s="371"/>
      <c r="AE68" s="371"/>
      <c r="AF68" s="371"/>
      <c r="AG68" s="371"/>
      <c r="AH68" s="371"/>
      <c r="AI68" s="371"/>
      <c r="AJ68" s="371"/>
      <c r="AK68" s="371"/>
      <c r="AL68" s="371"/>
      <c r="AM68" s="371"/>
      <c r="AN68" s="371"/>
      <c r="AO68" s="371"/>
      <c r="AP68" s="371"/>
      <c r="AQ68" s="371"/>
      <c r="AR68" s="371"/>
      <c r="AS68" s="371"/>
      <c r="AT68" s="371"/>
      <c r="AU68" s="371"/>
      <c r="AV68" s="371"/>
      <c r="AW68" s="371"/>
      <c r="AX68" s="371"/>
      <c r="AY68" s="371"/>
      <c r="AZ68" s="371"/>
      <c r="BA68" s="371"/>
      <c r="BB68" s="371"/>
      <c r="BC68" s="371"/>
      <c r="BD68" s="371"/>
      <c r="BE68" s="371"/>
      <c r="BF68" s="371"/>
      <c r="BG68" s="371"/>
      <c r="BH68" s="371"/>
      <c r="BI68" s="371"/>
      <c r="BJ68" s="371"/>
      <c r="BK68" s="371"/>
      <c r="BL68" s="371"/>
      <c r="BM68" s="371"/>
      <c r="BN68" s="371"/>
      <c r="BO68" s="371"/>
      <c r="BP68" s="371"/>
      <c r="BQ68" s="371"/>
      <c r="BR68" s="371"/>
      <c r="BS68" s="371"/>
      <c r="BT68" s="371"/>
      <c r="BU68" s="371"/>
      <c r="BV68" s="371"/>
      <c r="BW68" s="371"/>
      <c r="BX68" s="371"/>
      <c r="BY68" s="371"/>
      <c r="BZ68" s="371"/>
      <c r="CA68" s="371"/>
      <c r="CB68" s="371"/>
      <c r="CC68" s="371"/>
      <c r="CD68" s="371"/>
      <c r="CE68" s="371"/>
      <c r="CF68" s="371"/>
      <c r="CG68" s="371"/>
      <c r="CH68" s="371"/>
      <c r="CI68" s="371"/>
      <c r="CJ68" s="371"/>
      <c r="CK68" s="371"/>
      <c r="CL68" s="371"/>
    </row>
    <row r="69" spans="1:90" x14ac:dyDescent="0.3">
      <c r="A69" s="371"/>
      <c r="B69" s="371"/>
      <c r="C69" s="371"/>
      <c r="D69" s="371"/>
      <c r="E69" s="371"/>
      <c r="F69" s="371"/>
      <c r="G69" s="371"/>
      <c r="H69" s="371"/>
      <c r="I69" s="371"/>
      <c r="J69" s="371"/>
      <c r="K69" s="371"/>
      <c r="L69" s="371"/>
      <c r="M69" s="371"/>
      <c r="N69" s="371"/>
      <c r="O69" s="371"/>
      <c r="P69" s="371"/>
      <c r="Q69" s="371"/>
      <c r="R69" s="371"/>
      <c r="S69" s="371"/>
      <c r="T69" s="371"/>
      <c r="U69" s="371"/>
      <c r="V69" s="371"/>
      <c r="W69" s="371"/>
      <c r="X69" s="371"/>
      <c r="Y69" s="371"/>
      <c r="Z69" s="371"/>
      <c r="AA69" s="371"/>
      <c r="AB69" s="371"/>
      <c r="AC69" s="371"/>
      <c r="AD69" s="371"/>
      <c r="AE69" s="371"/>
      <c r="AF69" s="371"/>
      <c r="AG69" s="371"/>
      <c r="AH69" s="371"/>
      <c r="AI69" s="371"/>
      <c r="AJ69" s="371"/>
      <c r="AK69" s="371"/>
      <c r="AL69" s="371"/>
      <c r="AM69" s="371"/>
      <c r="AN69" s="371"/>
      <c r="AO69" s="371"/>
      <c r="AP69" s="371"/>
      <c r="AQ69" s="371"/>
      <c r="AR69" s="371"/>
      <c r="AS69" s="371"/>
      <c r="AT69" s="371"/>
      <c r="AU69" s="371"/>
      <c r="AV69" s="371"/>
      <c r="AW69" s="371"/>
      <c r="AX69" s="371"/>
      <c r="AY69" s="371"/>
      <c r="AZ69" s="371"/>
      <c r="BA69" s="371"/>
      <c r="BB69" s="371"/>
      <c r="BC69" s="371"/>
      <c r="BD69" s="371"/>
      <c r="BE69" s="371"/>
      <c r="BF69" s="371"/>
      <c r="BG69" s="371"/>
      <c r="BH69" s="371"/>
      <c r="BI69" s="371"/>
      <c r="BJ69" s="371"/>
      <c r="BK69" s="371"/>
      <c r="BL69" s="371"/>
      <c r="BM69" s="371"/>
      <c r="BN69" s="371"/>
      <c r="BO69" s="371"/>
      <c r="BP69" s="371"/>
      <c r="BQ69" s="371"/>
      <c r="BR69" s="371"/>
      <c r="BS69" s="371"/>
      <c r="BT69" s="371"/>
      <c r="BU69" s="371"/>
      <c r="BV69" s="371"/>
      <c r="BW69" s="371"/>
      <c r="BX69" s="371"/>
      <c r="BY69" s="371"/>
      <c r="BZ69" s="371"/>
      <c r="CA69" s="371"/>
      <c r="CB69" s="371"/>
      <c r="CC69" s="371"/>
      <c r="CD69" s="371"/>
      <c r="CE69" s="371"/>
      <c r="CF69" s="371"/>
      <c r="CG69" s="371"/>
      <c r="CH69" s="371"/>
      <c r="CI69" s="371"/>
      <c r="CJ69" s="371"/>
      <c r="CK69" s="371"/>
      <c r="CL69" s="371"/>
    </row>
    <row r="70" spans="1:90" x14ac:dyDescent="0.3">
      <c r="A70" s="371"/>
      <c r="B70" s="371"/>
      <c r="C70" s="371"/>
      <c r="D70" s="371"/>
      <c r="E70" s="371"/>
      <c r="F70" s="371"/>
      <c r="G70" s="371"/>
      <c r="H70" s="371"/>
      <c r="I70" s="371"/>
      <c r="J70" s="371"/>
      <c r="K70" s="371"/>
      <c r="L70" s="371"/>
      <c r="M70" s="371"/>
      <c r="N70" s="371"/>
      <c r="O70" s="371"/>
      <c r="P70" s="371"/>
      <c r="Q70" s="371"/>
      <c r="R70" s="371"/>
      <c r="S70" s="371"/>
      <c r="T70" s="371"/>
      <c r="U70" s="371"/>
      <c r="V70" s="371"/>
      <c r="W70" s="371"/>
      <c r="X70" s="371"/>
      <c r="Y70" s="371"/>
      <c r="Z70" s="371"/>
      <c r="AA70" s="371"/>
      <c r="AB70" s="371"/>
      <c r="AC70" s="371"/>
      <c r="AD70" s="371"/>
      <c r="AE70" s="371"/>
      <c r="AF70" s="371"/>
      <c r="AG70" s="371"/>
      <c r="AH70" s="371"/>
      <c r="AI70" s="371"/>
      <c r="AJ70" s="371"/>
      <c r="AK70" s="371"/>
      <c r="AL70" s="371"/>
      <c r="AM70" s="371"/>
      <c r="AN70" s="371"/>
      <c r="AO70" s="371"/>
      <c r="AP70" s="371"/>
      <c r="AQ70" s="371"/>
      <c r="AR70" s="371"/>
      <c r="AS70" s="371"/>
      <c r="AT70" s="371"/>
      <c r="AU70" s="371"/>
      <c r="AV70" s="371"/>
      <c r="AW70" s="371"/>
      <c r="AX70" s="371"/>
      <c r="AY70" s="371"/>
      <c r="AZ70" s="371"/>
      <c r="BA70" s="371"/>
      <c r="BB70" s="371"/>
      <c r="BC70" s="371"/>
      <c r="BD70" s="371"/>
      <c r="BE70" s="371"/>
      <c r="BF70" s="371"/>
      <c r="BG70" s="371"/>
      <c r="BH70" s="371"/>
      <c r="BI70" s="371"/>
      <c r="BJ70" s="371"/>
      <c r="BK70" s="371"/>
      <c r="BL70" s="371"/>
      <c r="BM70" s="371"/>
      <c r="BN70" s="371"/>
      <c r="BO70" s="371"/>
      <c r="BP70" s="371"/>
      <c r="BQ70" s="371"/>
      <c r="BR70" s="371"/>
      <c r="BS70" s="371"/>
      <c r="BT70" s="371"/>
      <c r="BU70" s="371"/>
      <c r="BV70" s="371"/>
      <c r="BW70" s="371"/>
      <c r="BX70" s="371"/>
      <c r="BY70" s="371"/>
      <c r="BZ70" s="371"/>
      <c r="CA70" s="371"/>
      <c r="CB70" s="371"/>
      <c r="CC70" s="371"/>
      <c r="CD70" s="371"/>
      <c r="CE70" s="371"/>
      <c r="CF70" s="371"/>
      <c r="CG70" s="371"/>
      <c r="CH70" s="371"/>
      <c r="CI70" s="371"/>
      <c r="CJ70" s="371"/>
      <c r="CK70" s="371"/>
      <c r="CL70" s="371"/>
    </row>
    <row r="71" spans="1:90" x14ac:dyDescent="0.3">
      <c r="A71" s="371"/>
      <c r="B71" s="371"/>
      <c r="C71" s="371"/>
      <c r="D71" s="371"/>
      <c r="E71" s="371"/>
      <c r="F71" s="371"/>
      <c r="G71" s="371"/>
      <c r="H71" s="371"/>
      <c r="I71" s="371"/>
      <c r="J71" s="371"/>
      <c r="K71" s="371"/>
      <c r="L71" s="371"/>
      <c r="M71" s="371"/>
      <c r="N71" s="371"/>
      <c r="O71" s="371"/>
      <c r="P71" s="371"/>
      <c r="Q71" s="371"/>
      <c r="R71" s="371"/>
      <c r="S71" s="371"/>
      <c r="T71" s="371"/>
      <c r="U71" s="371"/>
      <c r="V71" s="371"/>
      <c r="W71" s="371"/>
      <c r="X71" s="371"/>
      <c r="Y71" s="371"/>
      <c r="Z71" s="371"/>
      <c r="AA71" s="371"/>
      <c r="AB71" s="371"/>
      <c r="AC71" s="371"/>
      <c r="AD71" s="371"/>
      <c r="AE71" s="371"/>
      <c r="AF71" s="371"/>
      <c r="AG71" s="371"/>
      <c r="AH71" s="371"/>
      <c r="AI71" s="371"/>
      <c r="AJ71" s="371"/>
      <c r="AK71" s="371"/>
      <c r="AL71" s="371"/>
      <c r="AM71" s="371"/>
      <c r="AN71" s="371"/>
      <c r="AO71" s="371"/>
      <c r="AP71" s="371"/>
      <c r="AQ71" s="371"/>
      <c r="AR71" s="371"/>
      <c r="AS71" s="371"/>
      <c r="AT71" s="371"/>
      <c r="AU71" s="371"/>
      <c r="AV71" s="371"/>
      <c r="AW71" s="371"/>
      <c r="AX71" s="371"/>
      <c r="AY71" s="371"/>
      <c r="AZ71" s="371"/>
      <c r="BA71" s="371"/>
      <c r="BB71" s="371"/>
      <c r="BC71" s="371"/>
      <c r="BD71" s="371"/>
      <c r="BE71" s="371"/>
      <c r="BF71" s="371"/>
      <c r="BG71" s="371"/>
      <c r="BH71" s="371"/>
      <c r="BI71" s="371"/>
      <c r="BJ71" s="371"/>
      <c r="BK71" s="371"/>
      <c r="BL71" s="371"/>
      <c r="BM71" s="371"/>
      <c r="BN71" s="371"/>
      <c r="BO71" s="371"/>
      <c r="BP71" s="371"/>
      <c r="BQ71" s="371"/>
      <c r="BR71" s="371"/>
      <c r="BS71" s="371"/>
      <c r="BT71" s="371"/>
      <c r="BU71" s="371"/>
      <c r="BV71" s="371"/>
      <c r="BW71" s="371"/>
      <c r="BX71" s="371"/>
      <c r="BY71" s="371"/>
      <c r="BZ71" s="371"/>
      <c r="CA71" s="371"/>
      <c r="CB71" s="371"/>
      <c r="CC71" s="371"/>
      <c r="CD71" s="371"/>
      <c r="CE71" s="371"/>
      <c r="CF71" s="371"/>
      <c r="CG71" s="371"/>
      <c r="CH71" s="371"/>
      <c r="CI71" s="371"/>
      <c r="CJ71" s="371"/>
      <c r="CK71" s="371"/>
      <c r="CL71" s="371"/>
    </row>
    <row r="72" spans="1:90" x14ac:dyDescent="0.3">
      <c r="A72" s="371"/>
      <c r="B72" s="371"/>
      <c r="C72" s="371"/>
      <c r="D72" s="371"/>
      <c r="E72" s="371"/>
      <c r="F72" s="371"/>
      <c r="G72" s="371"/>
      <c r="H72" s="371"/>
      <c r="I72" s="371"/>
      <c r="J72" s="371"/>
      <c r="K72" s="371"/>
      <c r="L72" s="371"/>
      <c r="M72" s="371"/>
      <c r="N72" s="371"/>
      <c r="O72" s="371"/>
      <c r="P72" s="371"/>
      <c r="Q72" s="371"/>
      <c r="R72" s="371"/>
      <c r="S72" s="371"/>
      <c r="T72" s="371"/>
      <c r="U72" s="371"/>
      <c r="V72" s="371"/>
      <c r="W72" s="371"/>
      <c r="X72" s="371"/>
      <c r="Y72" s="371"/>
      <c r="Z72" s="371"/>
      <c r="AA72" s="371"/>
      <c r="AB72" s="371"/>
      <c r="AC72" s="371"/>
      <c r="AD72" s="371"/>
      <c r="AE72" s="371"/>
      <c r="AF72" s="371"/>
      <c r="AG72" s="371"/>
      <c r="AH72" s="371"/>
      <c r="AI72" s="371"/>
      <c r="AJ72" s="371"/>
      <c r="AK72" s="371"/>
      <c r="AL72" s="371"/>
      <c r="AM72" s="371"/>
      <c r="AN72" s="371"/>
      <c r="AO72" s="371"/>
      <c r="AP72" s="371"/>
      <c r="AQ72" s="371"/>
      <c r="AR72" s="371"/>
      <c r="AS72" s="371"/>
      <c r="AT72" s="371"/>
      <c r="AU72" s="371"/>
      <c r="AV72" s="371"/>
      <c r="AW72" s="371"/>
      <c r="AX72" s="371"/>
      <c r="AY72" s="371"/>
      <c r="AZ72" s="371"/>
      <c r="BA72" s="371"/>
      <c r="BB72" s="371"/>
      <c r="BC72" s="371"/>
      <c r="BD72" s="371"/>
      <c r="BE72" s="371"/>
      <c r="BF72" s="371"/>
      <c r="BG72" s="371"/>
      <c r="BH72" s="371"/>
      <c r="BI72" s="371"/>
      <c r="BJ72" s="371"/>
      <c r="BK72" s="371"/>
      <c r="BL72" s="371"/>
      <c r="BM72" s="371"/>
      <c r="BN72" s="371"/>
      <c r="BO72" s="371"/>
      <c r="BP72" s="371"/>
      <c r="BQ72" s="371"/>
      <c r="BR72" s="371"/>
      <c r="BS72" s="371"/>
      <c r="BT72" s="371"/>
      <c r="BU72" s="371"/>
      <c r="BV72" s="371"/>
      <c r="BW72" s="371"/>
      <c r="BX72" s="371"/>
      <c r="BY72" s="371"/>
      <c r="BZ72" s="371"/>
      <c r="CA72" s="371"/>
      <c r="CB72" s="371"/>
      <c r="CC72" s="371"/>
      <c r="CD72" s="371"/>
      <c r="CE72" s="371"/>
      <c r="CF72" s="371"/>
      <c r="CG72" s="371"/>
      <c r="CH72" s="371"/>
      <c r="CI72" s="371"/>
      <c r="CJ72" s="371"/>
      <c r="CK72" s="371"/>
      <c r="CL72" s="371"/>
    </row>
    <row r="73" spans="1:90" x14ac:dyDescent="0.3">
      <c r="A73" s="371"/>
      <c r="B73" s="371"/>
      <c r="C73" s="371"/>
      <c r="D73" s="371"/>
      <c r="E73" s="371"/>
      <c r="F73" s="371"/>
      <c r="G73" s="371"/>
      <c r="H73" s="371"/>
      <c r="I73" s="371"/>
      <c r="J73" s="371"/>
      <c r="K73" s="371"/>
      <c r="L73" s="371"/>
      <c r="M73" s="371"/>
      <c r="N73" s="371"/>
      <c r="O73" s="371"/>
      <c r="P73" s="371"/>
      <c r="Q73" s="371"/>
      <c r="R73" s="371"/>
      <c r="S73" s="371"/>
      <c r="T73" s="371"/>
      <c r="U73" s="371"/>
      <c r="V73" s="371"/>
      <c r="W73" s="371"/>
      <c r="X73" s="371"/>
      <c r="Y73" s="371"/>
      <c r="Z73" s="371"/>
      <c r="AA73" s="371"/>
      <c r="AB73" s="371"/>
      <c r="AC73" s="371"/>
      <c r="AD73" s="371"/>
      <c r="AE73" s="371"/>
      <c r="AF73" s="371"/>
      <c r="AG73" s="371"/>
      <c r="AH73" s="371"/>
      <c r="AI73" s="371"/>
      <c r="AJ73" s="371"/>
      <c r="AK73" s="371"/>
      <c r="AL73" s="371"/>
      <c r="AM73" s="371"/>
      <c r="AN73" s="371"/>
      <c r="AO73" s="371"/>
      <c r="AP73" s="371"/>
      <c r="AQ73" s="371"/>
      <c r="AR73" s="371"/>
      <c r="AS73" s="371"/>
      <c r="AT73" s="371"/>
      <c r="AU73" s="371"/>
      <c r="AV73" s="371"/>
      <c r="AW73" s="371"/>
      <c r="AX73" s="371"/>
      <c r="AY73" s="371"/>
      <c r="AZ73" s="371"/>
      <c r="BA73" s="371"/>
      <c r="BB73" s="371"/>
      <c r="BC73" s="371"/>
      <c r="BD73" s="371"/>
      <c r="BE73" s="371"/>
      <c r="BF73" s="371"/>
      <c r="BG73" s="371"/>
      <c r="BH73" s="371"/>
      <c r="BI73" s="371"/>
      <c r="BJ73" s="371"/>
      <c r="BK73" s="371"/>
      <c r="BL73" s="371"/>
      <c r="BM73" s="371"/>
      <c r="BN73" s="371"/>
      <c r="BO73" s="371"/>
      <c r="BP73" s="371"/>
      <c r="BQ73" s="371"/>
      <c r="BR73" s="371"/>
      <c r="BS73" s="371"/>
      <c r="BT73" s="371"/>
      <c r="BU73" s="371"/>
      <c r="BV73" s="371"/>
      <c r="BW73" s="371"/>
      <c r="BX73" s="371"/>
      <c r="BY73" s="371"/>
      <c r="BZ73" s="371"/>
      <c r="CA73" s="371"/>
      <c r="CB73" s="371"/>
      <c r="CC73" s="371"/>
      <c r="CD73" s="371"/>
      <c r="CE73" s="371"/>
      <c r="CF73" s="371"/>
      <c r="CG73" s="371"/>
      <c r="CH73" s="371"/>
      <c r="CI73" s="371"/>
      <c r="CJ73" s="371"/>
      <c r="CK73" s="371"/>
      <c r="CL73" s="371"/>
    </row>
    <row r="74" spans="1:90" x14ac:dyDescent="0.3">
      <c r="A74" s="371"/>
      <c r="B74" s="371"/>
      <c r="C74" s="371"/>
      <c r="D74" s="371"/>
      <c r="E74" s="371"/>
      <c r="F74" s="371"/>
      <c r="G74" s="371"/>
      <c r="H74" s="371"/>
      <c r="I74" s="371"/>
      <c r="J74" s="371"/>
      <c r="K74" s="371"/>
      <c r="L74" s="371"/>
      <c r="M74" s="371"/>
      <c r="N74" s="371"/>
      <c r="O74" s="371"/>
      <c r="P74" s="371"/>
      <c r="Q74" s="371"/>
      <c r="R74" s="371"/>
      <c r="S74" s="371"/>
      <c r="T74" s="371"/>
      <c r="U74" s="371"/>
      <c r="V74" s="371"/>
      <c r="W74" s="371"/>
      <c r="X74" s="371"/>
      <c r="Y74" s="371"/>
      <c r="Z74" s="371"/>
      <c r="AA74" s="371"/>
      <c r="AB74" s="371"/>
      <c r="AC74" s="371"/>
      <c r="AD74" s="371"/>
      <c r="AE74" s="371"/>
      <c r="AF74" s="371"/>
      <c r="AG74" s="371"/>
      <c r="AH74" s="371"/>
      <c r="AI74" s="371"/>
      <c r="AJ74" s="371"/>
      <c r="AK74" s="371"/>
      <c r="AL74" s="371"/>
      <c r="AM74" s="371"/>
      <c r="AN74" s="371"/>
      <c r="AO74" s="371"/>
      <c r="AP74" s="371"/>
      <c r="AQ74" s="371"/>
      <c r="AR74" s="371"/>
      <c r="AS74" s="371"/>
      <c r="AT74" s="371"/>
      <c r="AU74" s="371"/>
      <c r="AV74" s="371"/>
      <c r="AW74" s="371"/>
      <c r="AX74" s="371"/>
      <c r="AY74" s="371"/>
      <c r="AZ74" s="371"/>
      <c r="BA74" s="371"/>
      <c r="BB74" s="371"/>
      <c r="BC74" s="371"/>
      <c r="BD74" s="371"/>
      <c r="BE74" s="371"/>
      <c r="BF74" s="371"/>
      <c r="BG74" s="371"/>
      <c r="BH74" s="371"/>
      <c r="BI74" s="371"/>
      <c r="BJ74" s="371"/>
      <c r="BK74" s="371"/>
      <c r="BL74" s="371"/>
      <c r="BM74" s="371"/>
      <c r="BN74" s="371"/>
      <c r="BO74" s="371"/>
      <c r="BP74" s="371"/>
      <c r="BQ74" s="371"/>
      <c r="BR74" s="371"/>
      <c r="BS74" s="371"/>
      <c r="BT74" s="371"/>
      <c r="BU74" s="371"/>
      <c r="BV74" s="371"/>
      <c r="BW74" s="371"/>
      <c r="BX74" s="371"/>
      <c r="BY74" s="371"/>
      <c r="BZ74" s="371"/>
      <c r="CA74" s="371"/>
      <c r="CB74" s="371"/>
      <c r="CC74" s="371"/>
      <c r="CD74" s="371"/>
      <c r="CE74" s="371"/>
      <c r="CF74" s="371"/>
      <c r="CG74" s="371"/>
      <c r="CH74" s="371"/>
      <c r="CI74" s="371"/>
      <c r="CJ74" s="371"/>
      <c r="CK74" s="371"/>
      <c r="CL74" s="371"/>
    </row>
    <row r="75" spans="1:90" x14ac:dyDescent="0.3">
      <c r="A75" s="371"/>
      <c r="B75" s="371"/>
      <c r="C75" s="371"/>
      <c r="D75" s="371"/>
      <c r="E75" s="371"/>
      <c r="F75" s="371"/>
      <c r="G75" s="371"/>
      <c r="H75" s="371"/>
      <c r="I75" s="371"/>
      <c r="J75" s="371"/>
      <c r="K75" s="371"/>
      <c r="L75" s="371"/>
      <c r="M75" s="371"/>
      <c r="N75" s="371"/>
      <c r="O75" s="371"/>
      <c r="P75" s="371"/>
      <c r="Q75" s="371"/>
      <c r="R75" s="371"/>
      <c r="S75" s="371"/>
      <c r="T75" s="371"/>
      <c r="U75" s="371"/>
      <c r="V75" s="371"/>
      <c r="W75" s="371"/>
      <c r="X75" s="371"/>
      <c r="Y75" s="371"/>
      <c r="Z75" s="371"/>
      <c r="AA75" s="371"/>
      <c r="AB75" s="371"/>
      <c r="AC75" s="371"/>
      <c r="AD75" s="371"/>
      <c r="AE75" s="371"/>
      <c r="AF75" s="371"/>
      <c r="AG75" s="371"/>
      <c r="AH75" s="371"/>
      <c r="AI75" s="371"/>
      <c r="AJ75" s="371"/>
      <c r="AK75" s="371"/>
      <c r="AL75" s="371"/>
      <c r="AM75" s="371"/>
      <c r="AN75" s="371"/>
      <c r="AO75" s="371"/>
      <c r="AP75" s="371"/>
      <c r="AQ75" s="371"/>
      <c r="AR75" s="371"/>
      <c r="AS75" s="371"/>
      <c r="AT75" s="371"/>
      <c r="AU75" s="371"/>
      <c r="AV75" s="371"/>
      <c r="AW75" s="371"/>
      <c r="AX75" s="371"/>
      <c r="AY75" s="371"/>
      <c r="AZ75" s="371"/>
      <c r="BA75" s="371"/>
      <c r="BB75" s="371"/>
      <c r="BC75" s="371"/>
      <c r="BD75" s="371"/>
      <c r="BE75" s="371"/>
      <c r="BF75" s="371"/>
      <c r="BG75" s="371"/>
      <c r="BH75" s="371"/>
      <c r="BI75" s="371"/>
      <c r="BJ75" s="371"/>
      <c r="BK75" s="371"/>
      <c r="BL75" s="371"/>
      <c r="BM75" s="371"/>
      <c r="BN75" s="371"/>
      <c r="BO75" s="371"/>
      <c r="BP75" s="371"/>
      <c r="BQ75" s="371"/>
      <c r="BR75" s="371"/>
      <c r="BS75" s="371"/>
      <c r="BT75" s="371"/>
      <c r="BU75" s="371"/>
      <c r="BV75" s="371"/>
      <c r="BW75" s="371"/>
      <c r="BX75" s="371"/>
      <c r="BY75" s="371"/>
      <c r="BZ75" s="371"/>
      <c r="CA75" s="371"/>
      <c r="CB75" s="371"/>
      <c r="CC75" s="371"/>
      <c r="CD75" s="371"/>
      <c r="CE75" s="371"/>
      <c r="CF75" s="371"/>
      <c r="CG75" s="371"/>
      <c r="CH75" s="371"/>
      <c r="CI75" s="371"/>
      <c r="CJ75" s="371"/>
      <c r="CK75" s="371"/>
      <c r="CL75" s="371"/>
    </row>
    <row r="76" spans="1:90" x14ac:dyDescent="0.3">
      <c r="A76" s="371"/>
      <c r="B76" s="371"/>
      <c r="C76" s="371"/>
      <c r="D76" s="371"/>
      <c r="E76" s="371"/>
      <c r="F76" s="371"/>
      <c r="G76" s="371"/>
      <c r="H76" s="371"/>
      <c r="I76" s="371"/>
      <c r="J76" s="371"/>
      <c r="K76" s="371"/>
      <c r="L76" s="371"/>
      <c r="M76" s="371"/>
      <c r="N76" s="371"/>
      <c r="O76" s="371"/>
      <c r="P76" s="371"/>
      <c r="Q76" s="371"/>
      <c r="R76" s="371"/>
      <c r="S76" s="371"/>
      <c r="T76" s="371"/>
      <c r="U76" s="371"/>
      <c r="V76" s="371"/>
      <c r="W76" s="371"/>
      <c r="X76" s="371"/>
      <c r="Y76" s="371"/>
      <c r="Z76" s="371"/>
      <c r="AA76" s="371"/>
      <c r="AB76" s="371"/>
      <c r="AC76" s="371"/>
      <c r="AD76" s="371"/>
      <c r="AE76" s="371"/>
      <c r="AF76" s="371"/>
      <c r="AG76" s="371"/>
      <c r="AH76" s="371"/>
      <c r="AI76" s="371"/>
      <c r="AJ76" s="371"/>
      <c r="AK76" s="371"/>
      <c r="AL76" s="371"/>
      <c r="AM76" s="371"/>
      <c r="AN76" s="371"/>
      <c r="AO76" s="371"/>
      <c r="AP76" s="371"/>
      <c r="AQ76" s="371"/>
      <c r="AR76" s="371"/>
      <c r="AS76" s="371"/>
      <c r="AT76" s="371"/>
      <c r="AU76" s="371"/>
      <c r="AV76" s="371"/>
      <c r="AW76" s="371"/>
      <c r="AX76" s="371"/>
      <c r="AY76" s="371"/>
      <c r="AZ76" s="371"/>
      <c r="BA76" s="371"/>
      <c r="BB76" s="371"/>
      <c r="BC76" s="371"/>
      <c r="BD76" s="371"/>
      <c r="BE76" s="371"/>
      <c r="BF76" s="371"/>
      <c r="BG76" s="371"/>
      <c r="BH76" s="371"/>
      <c r="BI76" s="371"/>
      <c r="BJ76" s="371"/>
      <c r="BK76" s="371"/>
      <c r="BL76" s="371"/>
      <c r="BM76" s="371"/>
      <c r="BN76" s="371"/>
      <c r="BO76" s="371"/>
      <c r="BP76" s="371"/>
      <c r="BQ76" s="371"/>
      <c r="BR76" s="371"/>
      <c r="BS76" s="371"/>
      <c r="BT76" s="371"/>
      <c r="BU76" s="371"/>
      <c r="BV76" s="371"/>
      <c r="BW76" s="371"/>
      <c r="BX76" s="371"/>
      <c r="BY76" s="371"/>
      <c r="BZ76" s="371"/>
      <c r="CA76" s="371"/>
      <c r="CB76" s="371"/>
      <c r="CC76" s="371"/>
      <c r="CD76" s="371"/>
      <c r="CE76" s="371"/>
      <c r="CF76" s="371"/>
      <c r="CG76" s="371"/>
      <c r="CH76" s="371"/>
      <c r="CI76" s="371"/>
      <c r="CJ76" s="371"/>
      <c r="CK76" s="371"/>
      <c r="CL76" s="371"/>
    </row>
    <row r="77" spans="1:90" x14ac:dyDescent="0.3">
      <c r="A77" s="371"/>
      <c r="B77" s="371"/>
      <c r="C77" s="371"/>
      <c r="D77" s="371"/>
      <c r="E77" s="371"/>
      <c r="F77" s="371"/>
      <c r="G77" s="371"/>
      <c r="H77" s="371"/>
      <c r="I77" s="371"/>
      <c r="J77" s="371"/>
      <c r="K77" s="371"/>
      <c r="L77" s="371"/>
      <c r="M77" s="371"/>
      <c r="N77" s="371"/>
      <c r="O77" s="371"/>
      <c r="P77" s="371"/>
      <c r="Q77" s="371"/>
      <c r="R77" s="371"/>
      <c r="S77" s="371"/>
      <c r="T77" s="371"/>
      <c r="U77" s="371"/>
      <c r="V77" s="371"/>
      <c r="W77" s="371"/>
      <c r="X77" s="371"/>
      <c r="Y77" s="371"/>
      <c r="Z77" s="371"/>
      <c r="AA77" s="371"/>
      <c r="AB77" s="371"/>
      <c r="AC77" s="371"/>
      <c r="AD77" s="371"/>
      <c r="AE77" s="371"/>
      <c r="AF77" s="371"/>
      <c r="AG77" s="371"/>
      <c r="AH77" s="371"/>
      <c r="AI77" s="371"/>
      <c r="AJ77" s="371"/>
      <c r="AK77" s="371"/>
      <c r="AL77" s="371"/>
      <c r="AM77" s="371"/>
      <c r="AN77" s="371"/>
      <c r="AO77" s="371"/>
      <c r="AP77" s="371"/>
      <c r="AQ77" s="371"/>
      <c r="AR77" s="371"/>
      <c r="AS77" s="371"/>
      <c r="AT77" s="371"/>
      <c r="AU77" s="371"/>
      <c r="AV77" s="371"/>
      <c r="AW77" s="371"/>
      <c r="AX77" s="371"/>
      <c r="AY77" s="371"/>
      <c r="AZ77" s="371"/>
      <c r="BA77" s="371"/>
      <c r="BB77" s="371"/>
      <c r="BC77" s="371"/>
      <c r="BD77" s="371"/>
      <c r="BE77" s="371"/>
      <c r="BF77" s="371"/>
      <c r="BG77" s="371"/>
      <c r="BH77" s="371"/>
      <c r="BI77" s="371"/>
      <c r="BJ77" s="371"/>
      <c r="BK77" s="371"/>
      <c r="BL77" s="371"/>
      <c r="BM77" s="371"/>
      <c r="BN77" s="371"/>
      <c r="BO77" s="371"/>
      <c r="BP77" s="371"/>
      <c r="BQ77" s="371"/>
      <c r="BR77" s="371"/>
      <c r="BS77" s="371"/>
      <c r="BT77" s="371"/>
      <c r="BU77" s="371"/>
      <c r="BV77" s="371"/>
      <c r="BW77" s="371"/>
      <c r="BX77" s="371"/>
      <c r="BY77" s="371"/>
      <c r="BZ77" s="371"/>
      <c r="CA77" s="371"/>
      <c r="CB77" s="371"/>
      <c r="CC77" s="371"/>
      <c r="CD77" s="371"/>
      <c r="CE77" s="371"/>
      <c r="CF77" s="371"/>
      <c r="CG77" s="371"/>
      <c r="CH77" s="371"/>
      <c r="CI77" s="371"/>
      <c r="CJ77" s="371"/>
      <c r="CK77" s="371"/>
      <c r="CL77" s="371"/>
    </row>
    <row r="78" spans="1:90" x14ac:dyDescent="0.3">
      <c r="A78" s="371"/>
      <c r="B78" s="371"/>
      <c r="C78" s="371"/>
      <c r="D78" s="371"/>
      <c r="E78" s="371"/>
      <c r="F78" s="371"/>
      <c r="G78" s="371"/>
      <c r="H78" s="371"/>
      <c r="I78" s="371"/>
      <c r="J78" s="371"/>
      <c r="K78" s="371"/>
      <c r="L78" s="371"/>
      <c r="M78" s="371"/>
      <c r="N78" s="371"/>
      <c r="O78" s="371"/>
      <c r="P78" s="371"/>
      <c r="Q78" s="371"/>
      <c r="R78" s="371"/>
      <c r="S78" s="371"/>
      <c r="T78" s="371"/>
      <c r="U78" s="371"/>
      <c r="V78" s="371"/>
      <c r="W78" s="371"/>
      <c r="X78" s="371"/>
      <c r="Y78" s="371"/>
      <c r="Z78" s="371"/>
      <c r="AA78" s="371"/>
      <c r="AB78" s="371"/>
      <c r="AC78" s="371"/>
      <c r="AD78" s="371"/>
      <c r="AE78" s="371"/>
      <c r="AF78" s="371"/>
      <c r="AG78" s="371"/>
      <c r="AH78" s="371"/>
      <c r="AI78" s="371"/>
      <c r="AJ78" s="371"/>
      <c r="AK78" s="371"/>
      <c r="AL78" s="371"/>
      <c r="AM78" s="371"/>
      <c r="AN78" s="371"/>
      <c r="AO78" s="371"/>
      <c r="AP78" s="371"/>
      <c r="AQ78" s="371"/>
      <c r="AR78" s="371"/>
      <c r="AS78" s="371"/>
      <c r="AT78" s="371"/>
      <c r="AU78" s="371"/>
      <c r="AV78" s="371"/>
      <c r="AW78" s="371"/>
      <c r="AX78" s="371"/>
      <c r="AY78" s="371"/>
      <c r="AZ78" s="371"/>
      <c r="BA78" s="371"/>
      <c r="BB78" s="371"/>
      <c r="BC78" s="371"/>
      <c r="BD78" s="371"/>
      <c r="BE78" s="371"/>
      <c r="BF78" s="371"/>
      <c r="BG78" s="371"/>
      <c r="BH78" s="371"/>
      <c r="BI78" s="371"/>
      <c r="BJ78" s="371"/>
      <c r="BK78" s="371"/>
      <c r="BL78" s="371"/>
      <c r="BM78" s="371"/>
      <c r="BN78" s="371"/>
      <c r="BO78" s="371"/>
      <c r="BP78" s="371"/>
      <c r="BQ78" s="371"/>
      <c r="BR78" s="371"/>
      <c r="BS78" s="371"/>
      <c r="BT78" s="371"/>
      <c r="BU78" s="371"/>
      <c r="BV78" s="371"/>
      <c r="BW78" s="371"/>
      <c r="BX78" s="371"/>
      <c r="BY78" s="371"/>
      <c r="BZ78" s="371"/>
      <c r="CA78" s="371"/>
      <c r="CB78" s="371"/>
      <c r="CC78" s="371"/>
      <c r="CD78" s="371"/>
      <c r="CE78" s="371"/>
      <c r="CF78" s="371"/>
      <c r="CG78" s="371"/>
      <c r="CH78" s="371"/>
      <c r="CI78" s="371"/>
      <c r="CJ78" s="371"/>
      <c r="CK78" s="371"/>
      <c r="CL78" s="371"/>
    </row>
    <row r="79" spans="1:90" x14ac:dyDescent="0.3">
      <c r="A79" s="371"/>
      <c r="B79" s="371"/>
      <c r="C79" s="371"/>
      <c r="D79" s="371"/>
      <c r="E79" s="371"/>
      <c r="F79" s="371"/>
      <c r="G79" s="371"/>
      <c r="H79" s="371"/>
      <c r="I79" s="371"/>
      <c r="J79" s="371"/>
      <c r="K79" s="371"/>
      <c r="L79" s="371"/>
      <c r="M79" s="371"/>
      <c r="N79" s="371"/>
      <c r="O79" s="371"/>
      <c r="P79" s="371"/>
      <c r="Q79" s="371"/>
      <c r="R79" s="371"/>
      <c r="S79" s="371"/>
      <c r="T79" s="371"/>
      <c r="U79" s="371"/>
      <c r="V79" s="371"/>
      <c r="W79" s="371"/>
      <c r="X79" s="371"/>
      <c r="Y79" s="371"/>
      <c r="Z79" s="371"/>
      <c r="AA79" s="371"/>
      <c r="AB79" s="371"/>
      <c r="AC79" s="371"/>
      <c r="AD79" s="371"/>
      <c r="AE79" s="371"/>
      <c r="AF79" s="371"/>
      <c r="AG79" s="371"/>
      <c r="AH79" s="371"/>
      <c r="AI79" s="371"/>
      <c r="AJ79" s="371"/>
      <c r="AK79" s="371"/>
      <c r="AL79" s="371"/>
      <c r="AM79" s="371"/>
      <c r="AN79" s="371"/>
      <c r="AO79" s="371"/>
      <c r="AP79" s="371"/>
      <c r="AQ79" s="371"/>
      <c r="AR79" s="371"/>
      <c r="AS79" s="371"/>
      <c r="AT79" s="371"/>
      <c r="AU79" s="371"/>
      <c r="AV79" s="371"/>
      <c r="AW79" s="371"/>
      <c r="AX79" s="371"/>
      <c r="AY79" s="371"/>
      <c r="AZ79" s="371"/>
      <c r="BA79" s="371"/>
      <c r="BB79" s="371"/>
      <c r="BC79" s="371"/>
      <c r="BD79" s="371"/>
      <c r="BE79" s="371"/>
      <c r="BF79" s="371"/>
      <c r="BG79" s="371"/>
      <c r="BH79" s="371"/>
      <c r="BI79" s="371"/>
      <c r="BJ79" s="371"/>
      <c r="BK79" s="371"/>
      <c r="BL79" s="371"/>
      <c r="BM79" s="371"/>
      <c r="BN79" s="371"/>
      <c r="BO79" s="371"/>
      <c r="BP79" s="371"/>
      <c r="BQ79" s="371"/>
      <c r="BR79" s="371"/>
      <c r="BS79" s="371"/>
      <c r="BT79" s="371"/>
      <c r="BU79" s="371"/>
      <c r="BV79" s="371"/>
      <c r="BW79" s="371"/>
      <c r="BX79" s="371"/>
      <c r="BY79" s="371"/>
      <c r="BZ79" s="371"/>
      <c r="CA79" s="371"/>
      <c r="CB79" s="371"/>
      <c r="CC79" s="371"/>
      <c r="CD79" s="371"/>
      <c r="CE79" s="371"/>
      <c r="CF79" s="371"/>
      <c r="CG79" s="371"/>
      <c r="CH79" s="371"/>
      <c r="CI79" s="371"/>
      <c r="CJ79" s="371"/>
      <c r="CK79" s="371"/>
      <c r="CL79" s="371"/>
    </row>
    <row r="80" spans="1:90" x14ac:dyDescent="0.3">
      <c r="A80" s="371"/>
      <c r="B80" s="371"/>
      <c r="C80" s="371"/>
      <c r="D80" s="371"/>
      <c r="E80" s="371"/>
      <c r="F80" s="371"/>
      <c r="G80" s="371"/>
      <c r="H80" s="371"/>
      <c r="I80" s="371"/>
      <c r="J80" s="371"/>
      <c r="K80" s="371"/>
      <c r="L80" s="371"/>
      <c r="M80" s="371"/>
      <c r="N80" s="371"/>
      <c r="O80" s="371"/>
      <c r="P80" s="371"/>
      <c r="Q80" s="371"/>
      <c r="R80" s="371"/>
      <c r="S80" s="371"/>
      <c r="T80" s="371"/>
      <c r="U80" s="371"/>
      <c r="V80" s="371"/>
      <c r="W80" s="371"/>
      <c r="X80" s="371"/>
      <c r="Y80" s="371"/>
      <c r="Z80" s="371"/>
      <c r="AA80" s="371"/>
      <c r="AB80" s="371"/>
      <c r="AC80" s="371"/>
      <c r="AD80" s="371"/>
      <c r="AE80" s="371"/>
      <c r="AF80" s="371"/>
      <c r="AG80" s="371"/>
      <c r="AH80" s="371"/>
      <c r="AI80" s="371"/>
      <c r="AJ80" s="371"/>
      <c r="AK80" s="371"/>
      <c r="AL80" s="371"/>
      <c r="AM80" s="371"/>
      <c r="AN80" s="371"/>
      <c r="AO80" s="371"/>
      <c r="AP80" s="371"/>
      <c r="AQ80" s="371"/>
      <c r="AR80" s="371"/>
      <c r="AS80" s="371"/>
      <c r="AT80" s="371"/>
      <c r="AU80" s="371"/>
      <c r="AV80" s="371"/>
      <c r="AW80" s="371"/>
      <c r="AX80" s="371"/>
      <c r="AY80" s="371"/>
      <c r="AZ80" s="371"/>
      <c r="BA80" s="371"/>
      <c r="BB80" s="371"/>
      <c r="BC80" s="371"/>
      <c r="BD80" s="371"/>
      <c r="BE80" s="371"/>
      <c r="BF80" s="371"/>
      <c r="BG80" s="371"/>
      <c r="BH80" s="371"/>
      <c r="BI80" s="371"/>
      <c r="BJ80" s="371"/>
      <c r="BK80" s="371"/>
      <c r="BL80" s="371"/>
      <c r="BM80" s="371"/>
      <c r="BN80" s="371"/>
      <c r="BO80" s="371"/>
      <c r="BP80" s="371"/>
      <c r="BQ80" s="371"/>
      <c r="BR80" s="371"/>
      <c r="BS80" s="371"/>
      <c r="BT80" s="371"/>
      <c r="BU80" s="371"/>
      <c r="BV80" s="371"/>
      <c r="BW80" s="371"/>
      <c r="BX80" s="371"/>
      <c r="BY80" s="371"/>
      <c r="BZ80" s="371"/>
      <c r="CA80" s="371"/>
      <c r="CB80" s="371"/>
      <c r="CC80" s="371"/>
      <c r="CD80" s="371"/>
      <c r="CE80" s="371"/>
      <c r="CF80" s="371"/>
      <c r="CG80" s="371"/>
      <c r="CH80" s="371"/>
      <c r="CI80" s="371"/>
      <c r="CJ80" s="371"/>
      <c r="CK80" s="371"/>
      <c r="CL80" s="371"/>
    </row>
    <row r="81" spans="1:90" x14ac:dyDescent="0.3">
      <c r="A81" s="371"/>
      <c r="B81" s="371"/>
      <c r="C81" s="371"/>
      <c r="D81" s="371"/>
      <c r="E81" s="371"/>
      <c r="F81" s="371"/>
      <c r="G81" s="371"/>
      <c r="H81" s="371"/>
      <c r="I81" s="371"/>
      <c r="J81" s="371"/>
      <c r="K81" s="371"/>
      <c r="L81" s="371"/>
      <c r="M81" s="371"/>
      <c r="N81" s="371"/>
      <c r="O81" s="371"/>
      <c r="P81" s="371"/>
      <c r="Q81" s="371"/>
      <c r="R81" s="371"/>
      <c r="S81" s="371"/>
      <c r="T81" s="371"/>
      <c r="U81" s="371"/>
      <c r="V81" s="371"/>
      <c r="W81" s="371"/>
      <c r="X81" s="371"/>
      <c r="Y81" s="371"/>
      <c r="Z81" s="371"/>
      <c r="AA81" s="371"/>
      <c r="AB81" s="371"/>
      <c r="AC81" s="371"/>
      <c r="AD81" s="371"/>
      <c r="AE81" s="371"/>
      <c r="AF81" s="371"/>
      <c r="AG81" s="371"/>
      <c r="AH81" s="371"/>
      <c r="AI81" s="371"/>
      <c r="AJ81" s="371"/>
      <c r="AK81" s="371"/>
      <c r="AL81" s="371"/>
      <c r="AM81" s="371"/>
      <c r="AN81" s="371"/>
      <c r="AO81" s="371"/>
      <c r="AP81" s="371"/>
      <c r="AQ81" s="371"/>
      <c r="AR81" s="371"/>
      <c r="AS81" s="371"/>
      <c r="AT81" s="371"/>
      <c r="AU81" s="371"/>
      <c r="AV81" s="371"/>
      <c r="AW81" s="371"/>
      <c r="AX81" s="371"/>
      <c r="AY81" s="371"/>
      <c r="AZ81" s="371"/>
      <c r="BA81" s="371"/>
      <c r="BB81" s="371"/>
      <c r="BC81" s="371"/>
      <c r="BD81" s="371"/>
      <c r="BE81" s="371"/>
      <c r="BF81" s="371"/>
      <c r="BG81" s="371"/>
      <c r="BH81" s="371"/>
      <c r="BI81" s="371"/>
      <c r="BJ81" s="371"/>
      <c r="BK81" s="371"/>
      <c r="BL81" s="371"/>
      <c r="BM81" s="371"/>
      <c r="BN81" s="371"/>
      <c r="BO81" s="371"/>
      <c r="BP81" s="371"/>
      <c r="BQ81" s="371"/>
      <c r="BR81" s="371"/>
      <c r="BS81" s="371"/>
      <c r="BT81" s="371"/>
      <c r="BU81" s="371"/>
      <c r="BV81" s="371"/>
      <c r="BW81" s="371"/>
      <c r="BX81" s="371"/>
      <c r="BY81" s="371"/>
      <c r="BZ81" s="371"/>
      <c r="CA81" s="371"/>
      <c r="CB81" s="371"/>
      <c r="CC81" s="371"/>
      <c r="CD81" s="371"/>
      <c r="CE81" s="371"/>
      <c r="CF81" s="371"/>
      <c r="CG81" s="371"/>
      <c r="CH81" s="371"/>
      <c r="CI81" s="371"/>
      <c r="CJ81" s="371"/>
      <c r="CK81" s="371"/>
      <c r="CL81" s="371"/>
    </row>
    <row r="82" spans="1:90" x14ac:dyDescent="0.3">
      <c r="A82" s="371"/>
      <c r="B82" s="371"/>
      <c r="C82" s="371"/>
      <c r="D82" s="371"/>
      <c r="E82" s="371"/>
      <c r="F82" s="371"/>
      <c r="G82" s="371"/>
      <c r="H82" s="371"/>
      <c r="I82" s="371"/>
      <c r="J82" s="371"/>
      <c r="K82" s="371"/>
      <c r="L82" s="371"/>
      <c r="M82" s="371"/>
      <c r="N82" s="371"/>
      <c r="O82" s="371"/>
      <c r="P82" s="371"/>
      <c r="Q82" s="371"/>
      <c r="R82" s="371"/>
      <c r="S82" s="371"/>
      <c r="T82" s="371"/>
      <c r="U82" s="371"/>
      <c r="V82" s="371"/>
      <c r="W82" s="371"/>
      <c r="X82" s="371"/>
      <c r="Y82" s="371"/>
      <c r="Z82" s="371"/>
      <c r="AA82" s="371"/>
      <c r="AB82" s="371"/>
      <c r="AC82" s="371"/>
      <c r="AD82" s="371"/>
      <c r="AE82" s="371"/>
      <c r="AF82" s="371"/>
      <c r="AG82" s="371"/>
      <c r="AH82" s="371"/>
      <c r="AI82" s="371"/>
      <c r="AJ82" s="371"/>
      <c r="AK82" s="371"/>
      <c r="AL82" s="371"/>
      <c r="AM82" s="371"/>
      <c r="AN82" s="371"/>
      <c r="AO82" s="371"/>
      <c r="AP82" s="371"/>
      <c r="AQ82" s="371"/>
      <c r="AR82" s="371"/>
      <c r="AS82" s="371"/>
      <c r="AT82" s="371"/>
      <c r="AU82" s="371"/>
      <c r="AV82" s="371"/>
      <c r="AW82" s="371"/>
      <c r="AX82" s="371"/>
      <c r="AY82" s="371"/>
      <c r="AZ82" s="371"/>
      <c r="BA82" s="371"/>
      <c r="BB82" s="371"/>
      <c r="BC82" s="371"/>
      <c r="BD82" s="371"/>
      <c r="BE82" s="371"/>
      <c r="BF82" s="371"/>
      <c r="BG82" s="371"/>
      <c r="BH82" s="371"/>
      <c r="BI82" s="371"/>
      <c r="BJ82" s="371"/>
      <c r="BK82" s="371"/>
      <c r="BL82" s="371"/>
      <c r="BM82" s="371"/>
      <c r="BN82" s="371"/>
      <c r="BO82" s="371"/>
      <c r="BP82" s="371"/>
      <c r="BQ82" s="371"/>
      <c r="BR82" s="371"/>
      <c r="BS82" s="371"/>
      <c r="BT82" s="371"/>
      <c r="BU82" s="371"/>
      <c r="BV82" s="371"/>
      <c r="BW82" s="371"/>
      <c r="BX82" s="371"/>
      <c r="BY82" s="371"/>
      <c r="BZ82" s="371"/>
      <c r="CA82" s="371"/>
      <c r="CB82" s="371"/>
      <c r="CC82" s="371"/>
      <c r="CD82" s="371"/>
      <c r="CE82" s="371"/>
      <c r="CF82" s="371"/>
      <c r="CG82" s="371"/>
      <c r="CH82" s="371"/>
      <c r="CI82" s="371"/>
      <c r="CJ82" s="371"/>
      <c r="CK82" s="371"/>
      <c r="CL82" s="371"/>
    </row>
    <row r="83" spans="1:90" x14ac:dyDescent="0.3">
      <c r="A83" s="371"/>
      <c r="B83" s="371"/>
      <c r="C83" s="371"/>
      <c r="D83" s="371"/>
      <c r="E83" s="371"/>
      <c r="F83" s="371"/>
      <c r="G83" s="371"/>
      <c r="H83" s="371"/>
      <c r="I83" s="371"/>
      <c r="J83" s="371"/>
      <c r="K83" s="371"/>
      <c r="L83" s="371"/>
      <c r="M83" s="371"/>
      <c r="N83" s="371"/>
      <c r="O83" s="371"/>
      <c r="P83" s="371"/>
      <c r="Q83" s="371"/>
      <c r="R83" s="371"/>
      <c r="S83" s="371"/>
      <c r="T83" s="371"/>
      <c r="U83" s="371"/>
      <c r="V83" s="371"/>
      <c r="W83" s="371"/>
      <c r="X83" s="371"/>
      <c r="Y83" s="371"/>
      <c r="Z83" s="371"/>
      <c r="AA83" s="371"/>
      <c r="AB83" s="371"/>
      <c r="AC83" s="371"/>
      <c r="AD83" s="371"/>
      <c r="AE83" s="371"/>
      <c r="AF83" s="371"/>
      <c r="AG83" s="371"/>
      <c r="AH83" s="371"/>
      <c r="AI83" s="371"/>
      <c r="AJ83" s="371"/>
      <c r="AK83" s="371"/>
      <c r="AL83" s="371"/>
      <c r="AM83" s="371"/>
      <c r="AN83" s="371"/>
      <c r="AO83" s="371"/>
      <c r="AP83" s="371"/>
      <c r="AQ83" s="371"/>
      <c r="AR83" s="371"/>
      <c r="AS83" s="371"/>
      <c r="AT83" s="371"/>
      <c r="AU83" s="371"/>
      <c r="AV83" s="371"/>
      <c r="AW83" s="371"/>
      <c r="AX83" s="371"/>
      <c r="AY83" s="371"/>
      <c r="AZ83" s="371"/>
      <c r="BA83" s="371"/>
      <c r="BB83" s="371"/>
      <c r="BC83" s="371"/>
      <c r="BD83" s="371"/>
      <c r="BE83" s="371"/>
      <c r="BF83" s="371"/>
      <c r="BG83" s="371"/>
      <c r="BH83" s="371"/>
      <c r="BI83" s="371"/>
      <c r="BJ83" s="371"/>
      <c r="BK83" s="371"/>
      <c r="BL83" s="371"/>
      <c r="BM83" s="371"/>
      <c r="BN83" s="371"/>
      <c r="BO83" s="371"/>
      <c r="BP83" s="371"/>
      <c r="BQ83" s="371"/>
      <c r="BR83" s="371"/>
      <c r="BS83" s="371"/>
      <c r="BT83" s="371"/>
      <c r="BU83" s="371"/>
      <c r="BV83" s="371"/>
      <c r="BW83" s="371"/>
      <c r="BX83" s="371"/>
      <c r="BY83" s="371"/>
      <c r="BZ83" s="371"/>
      <c r="CA83" s="371"/>
      <c r="CB83" s="371"/>
      <c r="CC83" s="371"/>
      <c r="CD83" s="371"/>
      <c r="CE83" s="371"/>
      <c r="CF83" s="371"/>
      <c r="CG83" s="371"/>
      <c r="CH83" s="371"/>
      <c r="CI83" s="371"/>
      <c r="CJ83" s="371"/>
      <c r="CK83" s="371"/>
      <c r="CL83" s="371"/>
    </row>
    <row r="84" spans="1:90" x14ac:dyDescent="0.3">
      <c r="A84" s="371"/>
      <c r="B84" s="371"/>
      <c r="C84" s="371"/>
      <c r="D84" s="371"/>
      <c r="E84" s="371"/>
      <c r="F84" s="371"/>
      <c r="G84" s="371"/>
      <c r="H84" s="371"/>
      <c r="I84" s="371"/>
      <c r="J84" s="371"/>
      <c r="K84" s="371"/>
      <c r="L84" s="371"/>
      <c r="M84" s="371"/>
      <c r="N84" s="371"/>
      <c r="O84" s="371"/>
      <c r="P84" s="371"/>
      <c r="Q84" s="371"/>
      <c r="R84" s="371"/>
      <c r="S84" s="371"/>
      <c r="T84" s="371"/>
      <c r="U84" s="371"/>
      <c r="V84" s="371"/>
      <c r="W84" s="371"/>
      <c r="X84" s="371"/>
      <c r="Y84" s="371"/>
      <c r="Z84" s="371"/>
      <c r="AA84" s="371"/>
      <c r="AB84" s="371"/>
      <c r="AC84" s="371"/>
      <c r="AD84" s="371"/>
      <c r="AE84" s="371"/>
      <c r="AF84" s="371"/>
      <c r="AG84" s="371"/>
      <c r="AH84" s="371"/>
      <c r="AI84" s="371"/>
      <c r="AJ84" s="371"/>
      <c r="AK84" s="371"/>
      <c r="AL84" s="371"/>
      <c r="AM84" s="371"/>
      <c r="AN84" s="371"/>
      <c r="AO84" s="371"/>
      <c r="AP84" s="371"/>
      <c r="AQ84" s="371"/>
      <c r="AR84" s="371"/>
      <c r="AS84" s="371"/>
      <c r="AT84" s="371"/>
      <c r="AU84" s="371"/>
      <c r="AV84" s="371"/>
      <c r="AW84" s="371"/>
      <c r="AX84" s="371"/>
      <c r="AY84" s="371"/>
      <c r="AZ84" s="371"/>
      <c r="BA84" s="371"/>
      <c r="BB84" s="371"/>
      <c r="BC84" s="371"/>
      <c r="BD84" s="371"/>
      <c r="BE84" s="371"/>
      <c r="BF84" s="371"/>
      <c r="BG84" s="371"/>
      <c r="BH84" s="371"/>
      <c r="BI84" s="371"/>
      <c r="BJ84" s="371"/>
      <c r="BK84" s="371"/>
      <c r="BL84" s="371"/>
      <c r="BM84" s="371"/>
      <c r="BN84" s="371"/>
      <c r="BO84" s="371"/>
      <c r="BP84" s="371"/>
      <c r="BQ84" s="371"/>
      <c r="BR84" s="371"/>
      <c r="BS84" s="371"/>
      <c r="BT84" s="371"/>
      <c r="BU84" s="371"/>
      <c r="BV84" s="371"/>
      <c r="BW84" s="371"/>
      <c r="BX84" s="371"/>
      <c r="BY84" s="371"/>
      <c r="BZ84" s="371"/>
      <c r="CA84" s="371"/>
      <c r="CB84" s="371"/>
      <c r="CC84" s="371"/>
      <c r="CD84" s="371"/>
      <c r="CE84" s="371"/>
      <c r="CF84" s="371"/>
      <c r="CG84" s="371"/>
      <c r="CH84" s="371"/>
      <c r="CI84" s="371"/>
      <c r="CJ84" s="371"/>
      <c r="CK84" s="371"/>
      <c r="CL84" s="371"/>
    </row>
    <row r="85" spans="1:90" x14ac:dyDescent="0.3">
      <c r="A85" s="371"/>
      <c r="B85" s="371"/>
      <c r="C85" s="371"/>
      <c r="D85" s="371"/>
      <c r="E85" s="371"/>
      <c r="F85" s="371"/>
      <c r="G85" s="371"/>
      <c r="H85" s="371"/>
      <c r="I85" s="371"/>
      <c r="J85" s="371"/>
      <c r="K85" s="371"/>
      <c r="L85" s="371"/>
      <c r="M85" s="371"/>
      <c r="N85" s="371"/>
      <c r="O85" s="371"/>
      <c r="P85" s="371"/>
      <c r="Q85" s="371"/>
      <c r="R85" s="371"/>
      <c r="S85" s="371"/>
      <c r="T85" s="371"/>
      <c r="U85" s="371"/>
      <c r="V85" s="371"/>
      <c r="W85" s="371"/>
      <c r="X85" s="371"/>
      <c r="Y85" s="371"/>
      <c r="Z85" s="371"/>
      <c r="AA85" s="371"/>
      <c r="AB85" s="371"/>
      <c r="AC85" s="371"/>
      <c r="AD85" s="371"/>
      <c r="AE85" s="371"/>
      <c r="AF85" s="371"/>
      <c r="AG85" s="371"/>
      <c r="AH85" s="371"/>
      <c r="AI85" s="371"/>
      <c r="AJ85" s="371"/>
      <c r="AK85" s="371"/>
      <c r="AL85" s="371"/>
      <c r="AM85" s="371"/>
      <c r="AN85" s="371"/>
      <c r="AO85" s="371"/>
      <c r="AP85" s="371"/>
      <c r="AQ85" s="371"/>
      <c r="AR85" s="371"/>
      <c r="AS85" s="371"/>
      <c r="AT85" s="371"/>
      <c r="AU85" s="371"/>
      <c r="AV85" s="371"/>
      <c r="AW85" s="371"/>
      <c r="AX85" s="371"/>
      <c r="AY85" s="371"/>
      <c r="AZ85" s="371"/>
      <c r="BA85" s="371"/>
      <c r="BB85" s="371"/>
      <c r="BC85" s="371"/>
      <c r="BD85" s="371"/>
      <c r="BE85" s="371"/>
      <c r="BF85" s="371"/>
      <c r="BG85" s="371"/>
      <c r="BH85" s="371"/>
      <c r="BI85" s="371"/>
      <c r="BJ85" s="371"/>
      <c r="BK85" s="371"/>
      <c r="BL85" s="371"/>
      <c r="BM85" s="371"/>
      <c r="BN85" s="371"/>
      <c r="BO85" s="371"/>
      <c r="BP85" s="371"/>
      <c r="BQ85" s="371"/>
      <c r="BR85" s="371"/>
      <c r="BS85" s="371"/>
      <c r="BT85" s="371"/>
      <c r="BU85" s="371"/>
      <c r="BV85" s="371"/>
      <c r="BW85" s="371"/>
      <c r="BX85" s="371"/>
      <c r="BY85" s="371"/>
      <c r="BZ85" s="371"/>
      <c r="CA85" s="371"/>
      <c r="CB85" s="371"/>
      <c r="CC85" s="371"/>
      <c r="CD85" s="371"/>
      <c r="CE85" s="371"/>
      <c r="CF85" s="371"/>
      <c r="CG85" s="371"/>
      <c r="CH85" s="371"/>
      <c r="CI85" s="371"/>
      <c r="CJ85" s="371"/>
      <c r="CK85" s="371"/>
      <c r="CL85" s="371"/>
    </row>
    <row r="86" spans="1:90" x14ac:dyDescent="0.3">
      <c r="A86" s="371"/>
      <c r="B86" s="371"/>
      <c r="C86" s="371"/>
      <c r="D86" s="371"/>
      <c r="E86" s="371"/>
      <c r="F86" s="371"/>
      <c r="G86" s="371"/>
      <c r="H86" s="371"/>
      <c r="I86" s="371"/>
      <c r="J86" s="371"/>
      <c r="K86" s="371"/>
      <c r="L86" s="371"/>
      <c r="M86" s="371"/>
      <c r="N86" s="371"/>
      <c r="O86" s="371"/>
      <c r="P86" s="371"/>
      <c r="Q86" s="371"/>
      <c r="R86" s="371"/>
      <c r="S86" s="371"/>
      <c r="T86" s="371"/>
      <c r="U86" s="371"/>
      <c r="V86" s="371"/>
      <c r="W86" s="371"/>
      <c r="X86" s="371"/>
      <c r="Y86" s="371"/>
      <c r="Z86" s="371"/>
      <c r="AA86" s="371"/>
      <c r="AB86" s="371"/>
      <c r="AC86" s="371"/>
      <c r="AD86" s="371"/>
      <c r="AE86" s="371"/>
      <c r="AF86" s="371"/>
      <c r="AG86" s="371"/>
      <c r="AH86" s="371"/>
      <c r="AI86" s="371"/>
      <c r="AJ86" s="371"/>
      <c r="AK86" s="371"/>
      <c r="AL86" s="371"/>
      <c r="AM86" s="371"/>
      <c r="AN86" s="371"/>
      <c r="AO86" s="371"/>
      <c r="AP86" s="371"/>
      <c r="AQ86" s="371"/>
      <c r="AR86" s="371"/>
      <c r="AS86" s="371"/>
      <c r="AT86" s="371"/>
      <c r="AU86" s="371"/>
      <c r="AV86" s="371"/>
      <c r="AW86" s="371"/>
      <c r="AX86" s="371"/>
      <c r="AY86" s="371"/>
      <c r="AZ86" s="371"/>
      <c r="BA86" s="371"/>
      <c r="BB86" s="371"/>
      <c r="BC86" s="371"/>
      <c r="BD86" s="371"/>
      <c r="BE86" s="371"/>
      <c r="BF86" s="371"/>
      <c r="BG86" s="371"/>
      <c r="BH86" s="371"/>
      <c r="BI86" s="371"/>
      <c r="BJ86" s="371"/>
      <c r="BK86" s="371"/>
      <c r="BL86" s="371"/>
      <c r="BM86" s="371"/>
      <c r="BN86" s="371"/>
      <c r="BO86" s="371"/>
      <c r="BP86" s="371"/>
      <c r="BQ86" s="371"/>
      <c r="BR86" s="371"/>
      <c r="BS86" s="371"/>
      <c r="BT86" s="371"/>
      <c r="BU86" s="371"/>
      <c r="BV86" s="371"/>
      <c r="BW86" s="371"/>
      <c r="BX86" s="371"/>
      <c r="BY86" s="371"/>
      <c r="BZ86" s="371"/>
      <c r="CA86" s="371"/>
      <c r="CB86" s="371"/>
      <c r="CC86" s="371"/>
      <c r="CD86" s="371"/>
      <c r="CE86" s="371"/>
      <c r="CF86" s="371"/>
      <c r="CG86" s="371"/>
      <c r="CH86" s="371"/>
      <c r="CI86" s="371"/>
      <c r="CJ86" s="371"/>
      <c r="CK86" s="371"/>
      <c r="CL86" s="371"/>
    </row>
    <row r="87" spans="1:90" x14ac:dyDescent="0.3">
      <c r="A87" s="371"/>
      <c r="B87" s="371"/>
      <c r="C87" s="371"/>
      <c r="D87" s="371"/>
      <c r="E87" s="371"/>
      <c r="F87" s="371"/>
      <c r="G87" s="371"/>
      <c r="H87" s="371"/>
      <c r="I87" s="371"/>
      <c r="J87" s="371"/>
      <c r="K87" s="371"/>
      <c r="L87" s="371"/>
      <c r="M87" s="371"/>
      <c r="N87" s="371"/>
      <c r="O87" s="371"/>
      <c r="P87" s="371"/>
      <c r="Q87" s="371"/>
      <c r="R87" s="371"/>
      <c r="S87" s="371"/>
      <c r="T87" s="371"/>
      <c r="U87" s="371"/>
      <c r="V87" s="371"/>
      <c r="W87" s="371"/>
      <c r="X87" s="371"/>
      <c r="Y87" s="371"/>
      <c r="Z87" s="371"/>
      <c r="AA87" s="371"/>
      <c r="AB87" s="371"/>
      <c r="AC87" s="371"/>
      <c r="AD87" s="371"/>
      <c r="AE87" s="371"/>
      <c r="AF87" s="371"/>
      <c r="AG87" s="371"/>
      <c r="AH87" s="371"/>
      <c r="AI87" s="371"/>
      <c r="AJ87" s="371"/>
      <c r="AK87" s="371"/>
      <c r="AL87" s="371"/>
      <c r="AM87" s="371"/>
      <c r="AN87" s="371"/>
      <c r="AO87" s="371"/>
      <c r="AP87" s="371"/>
      <c r="AQ87" s="371"/>
      <c r="AR87" s="371"/>
      <c r="AS87" s="371"/>
      <c r="AT87" s="371"/>
      <c r="AU87" s="371"/>
      <c r="AV87" s="371"/>
      <c r="AW87" s="371"/>
      <c r="AX87" s="371"/>
      <c r="AY87" s="371"/>
      <c r="AZ87" s="371"/>
      <c r="BA87" s="371"/>
      <c r="BB87" s="371"/>
      <c r="BC87" s="371"/>
      <c r="BD87" s="371"/>
      <c r="BE87" s="371"/>
      <c r="BF87" s="371"/>
      <c r="BG87" s="371"/>
      <c r="BH87" s="371"/>
      <c r="BI87" s="371"/>
      <c r="BJ87" s="371"/>
      <c r="BK87" s="371"/>
      <c r="BL87" s="371"/>
      <c r="BM87" s="371"/>
      <c r="BN87" s="371"/>
      <c r="BO87" s="371"/>
      <c r="BP87" s="371"/>
      <c r="BQ87" s="371"/>
      <c r="BR87" s="371"/>
      <c r="BS87" s="371"/>
      <c r="BT87" s="371"/>
      <c r="BU87" s="371"/>
      <c r="BV87" s="371"/>
      <c r="BW87" s="371"/>
      <c r="BX87" s="371"/>
      <c r="BY87" s="371"/>
      <c r="BZ87" s="371"/>
      <c r="CA87" s="371"/>
      <c r="CB87" s="371"/>
      <c r="CC87" s="371"/>
      <c r="CD87" s="371"/>
      <c r="CE87" s="371"/>
      <c r="CF87" s="371"/>
      <c r="CG87" s="371"/>
      <c r="CH87" s="371"/>
      <c r="CI87" s="371"/>
      <c r="CJ87" s="371"/>
      <c r="CK87" s="371"/>
      <c r="CL87" s="371"/>
    </row>
    <row r="88" spans="1:90" x14ac:dyDescent="0.3">
      <c r="A88" s="371"/>
      <c r="B88" s="371"/>
      <c r="C88" s="371"/>
      <c r="D88" s="371"/>
      <c r="E88" s="371"/>
      <c r="F88" s="371"/>
      <c r="G88" s="371"/>
      <c r="H88" s="371"/>
      <c r="I88" s="371"/>
      <c r="J88" s="371"/>
      <c r="K88" s="371"/>
      <c r="L88" s="371"/>
      <c r="M88" s="371"/>
      <c r="N88" s="371"/>
      <c r="O88" s="371"/>
      <c r="P88" s="371"/>
      <c r="Q88" s="371"/>
      <c r="R88" s="371"/>
      <c r="S88" s="371"/>
      <c r="T88" s="371"/>
      <c r="U88" s="371"/>
      <c r="V88" s="371"/>
      <c r="W88" s="371"/>
      <c r="X88" s="371"/>
      <c r="Y88" s="371"/>
      <c r="Z88" s="371"/>
      <c r="AA88" s="371"/>
      <c r="AB88" s="371"/>
      <c r="AC88" s="371"/>
      <c r="AD88" s="371"/>
      <c r="AE88" s="371"/>
      <c r="AF88" s="371"/>
      <c r="AG88" s="371"/>
      <c r="AH88" s="371"/>
      <c r="AI88" s="371"/>
      <c r="AJ88" s="371"/>
      <c r="AK88" s="371"/>
      <c r="AL88" s="371"/>
      <c r="AM88" s="371"/>
      <c r="AN88" s="371"/>
      <c r="AO88" s="371"/>
      <c r="AP88" s="371"/>
      <c r="AQ88" s="371"/>
      <c r="AR88" s="371"/>
      <c r="AS88" s="371"/>
      <c r="AT88" s="371"/>
      <c r="AU88" s="371"/>
      <c r="AV88" s="371"/>
      <c r="AW88" s="371"/>
      <c r="AX88" s="371"/>
      <c r="AY88" s="371"/>
      <c r="AZ88" s="371"/>
      <c r="BA88" s="371"/>
      <c r="BB88" s="371"/>
      <c r="BC88" s="371"/>
      <c r="BD88" s="371"/>
      <c r="BE88" s="371"/>
      <c r="BF88" s="371"/>
      <c r="BG88" s="371"/>
      <c r="BH88" s="371"/>
      <c r="BI88" s="371"/>
      <c r="BJ88" s="371"/>
      <c r="BK88" s="371"/>
      <c r="BL88" s="371"/>
      <c r="BM88" s="371"/>
      <c r="BN88" s="371"/>
      <c r="BO88" s="371"/>
      <c r="BP88" s="371"/>
      <c r="BQ88" s="371"/>
      <c r="BR88" s="371"/>
      <c r="BS88" s="371"/>
      <c r="BT88" s="371"/>
      <c r="BU88" s="371"/>
      <c r="BV88" s="371"/>
      <c r="BW88" s="371"/>
      <c r="BX88" s="371"/>
      <c r="BY88" s="371"/>
      <c r="BZ88" s="371"/>
      <c r="CA88" s="371"/>
      <c r="CB88" s="371"/>
      <c r="CC88" s="371"/>
      <c r="CD88" s="371"/>
      <c r="CE88" s="371"/>
      <c r="CF88" s="371"/>
      <c r="CG88" s="371"/>
      <c r="CH88" s="371"/>
      <c r="CI88" s="371"/>
      <c r="CJ88" s="371"/>
      <c r="CK88" s="371"/>
      <c r="CL88" s="371"/>
    </row>
  </sheetData>
  <mergeCells count="66">
    <mergeCell ref="B3:K3"/>
    <mergeCell ref="A1:Y1"/>
    <mergeCell ref="P3:Y3"/>
    <mergeCell ref="M11:N11"/>
    <mergeCell ref="B10:D10"/>
    <mergeCell ref="B9:D9"/>
    <mergeCell ref="M3:N3"/>
    <mergeCell ref="B5:D5"/>
    <mergeCell ref="B6:D6"/>
    <mergeCell ref="B7:D7"/>
    <mergeCell ref="B8:D8"/>
    <mergeCell ref="S8:T8"/>
    <mergeCell ref="U8:V8"/>
    <mergeCell ref="P4:Q4"/>
    <mergeCell ref="P5:R5"/>
    <mergeCell ref="P6:R6"/>
    <mergeCell ref="P7:R7"/>
    <mergeCell ref="P8:R8"/>
    <mergeCell ref="P10:R10"/>
    <mergeCell ref="U10:V10"/>
    <mergeCell ref="S10:T10"/>
    <mergeCell ref="U9:V9"/>
    <mergeCell ref="S9:T9"/>
    <mergeCell ref="P9:R9"/>
    <mergeCell ref="U4:V4"/>
    <mergeCell ref="S4:T4"/>
    <mergeCell ref="U7:V7"/>
    <mergeCell ref="S7:T7"/>
    <mergeCell ref="S6:T6"/>
    <mergeCell ref="U6:V6"/>
    <mergeCell ref="U5:V5"/>
    <mergeCell ref="S5:T5"/>
    <mergeCell ref="N4:N5"/>
    <mergeCell ref="M4:M5"/>
    <mergeCell ref="N6:N10"/>
    <mergeCell ref="M6:M10"/>
    <mergeCell ref="C31:E31"/>
    <mergeCell ref="C22:E22"/>
    <mergeCell ref="C24:E24"/>
    <mergeCell ref="C25:E25"/>
    <mergeCell ref="C26:E26"/>
    <mergeCell ref="C27:E27"/>
    <mergeCell ref="C28:E28"/>
    <mergeCell ref="C16:E16"/>
    <mergeCell ref="C17:E17"/>
    <mergeCell ref="C18:E18"/>
    <mergeCell ref="C19:E19"/>
    <mergeCell ref="C20:E20"/>
    <mergeCell ref="C43:E43"/>
    <mergeCell ref="C32:E32"/>
    <mergeCell ref="C21:E21"/>
    <mergeCell ref="C23:E23"/>
    <mergeCell ref="C34:E34"/>
    <mergeCell ref="C39:E39"/>
    <mergeCell ref="C14:T14"/>
    <mergeCell ref="C38:E38"/>
    <mergeCell ref="C40:E40"/>
    <mergeCell ref="C41:E41"/>
    <mergeCell ref="C42:E42"/>
    <mergeCell ref="H52:I52"/>
    <mergeCell ref="J52:K52"/>
    <mergeCell ref="D51:G51"/>
    <mergeCell ref="C44:E44"/>
    <mergeCell ref="C45:E45"/>
    <mergeCell ref="C46:E46"/>
    <mergeCell ref="C47:E47"/>
  </mergeCells>
  <phoneticPr fontId="18" type="noConversion"/>
  <conditionalFormatting sqref="R16:R21 T16:T21 T31:T32 F33:T33 T34 F35:T35 T36 F37:T37 T38:T47">
    <cfRule type="cellIs" dxfId="325" priority="1" operator="lessThan">
      <formula>0</formula>
    </cfRule>
  </conditionalFormatting>
  <hyperlinks>
    <hyperlink ref="M3:N3" r:id="rId1" display="PACE" xr:uid="{98B7C8B6-2D76-4F6C-87D2-2615082D3D0F}"/>
  </hyperlinks>
  <pageMargins left="0.7" right="0.7" top="0.75" bottom="0.75" header="0.3" footer="0.3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286E2A-1901-4FA4-A0F1-9103B7CB9F04}">
  <dimension ref="A1:AH165"/>
  <sheetViews>
    <sheetView tabSelected="1" topLeftCell="B61" zoomScale="70" zoomScaleNormal="70" workbookViewId="0">
      <pane xSplit="1" topLeftCell="C1" activePane="topRight" state="frozen"/>
      <selection activeCell="B52" sqref="B52"/>
      <selection pane="topRight" activeCell="S47" sqref="S47"/>
    </sheetView>
  </sheetViews>
  <sheetFormatPr defaultRowHeight="14.4" x14ac:dyDescent="0.3"/>
  <cols>
    <col min="1" max="1" width="9.109375" hidden="1" customWidth="1"/>
    <col min="2" max="2" width="15" customWidth="1"/>
    <col min="3" max="3" width="13.88671875" bestFit="1" customWidth="1"/>
    <col min="4" max="7" width="13.109375" customWidth="1"/>
    <col min="8" max="8" width="13.88671875" customWidth="1"/>
    <col min="9" max="12" width="13.109375" customWidth="1"/>
    <col min="13" max="13" width="13.21875" customWidth="1"/>
    <col min="14" max="14" width="13.109375" customWidth="1"/>
    <col min="15" max="15" width="15.21875" customWidth="1"/>
    <col min="16" max="16" width="13.6640625" customWidth="1"/>
    <col min="17" max="17" width="12.6640625" customWidth="1"/>
    <col min="19" max="20" width="12.109375" bestFit="1" customWidth="1"/>
    <col min="23" max="23" width="13.109375" bestFit="1" customWidth="1"/>
    <col min="24" max="24" width="11.5546875" bestFit="1" customWidth="1"/>
    <col min="27" max="27" width="11.5546875" bestFit="1" customWidth="1"/>
    <col min="28" max="28" width="11.6640625" bestFit="1" customWidth="1"/>
  </cols>
  <sheetData>
    <row r="1" spans="1:34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</row>
    <row r="2" spans="1:34" ht="21" x14ac:dyDescent="0.4">
      <c r="B2" s="637" t="s">
        <v>0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7"/>
      <c r="W2" s="637"/>
      <c r="X2" s="637"/>
      <c r="Y2" s="637"/>
      <c r="Z2" s="637"/>
      <c r="AA2" s="637"/>
      <c r="AB2" s="1"/>
      <c r="AC2" s="1"/>
      <c r="AD2" s="1"/>
      <c r="AE2" s="1"/>
      <c r="AF2" s="1"/>
      <c r="AG2" s="1"/>
    </row>
    <row r="3" spans="1:34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</row>
    <row r="4" spans="1:34" x14ac:dyDescent="0.3">
      <c r="B4" s="626" t="s">
        <v>1</v>
      </c>
      <c r="C4" s="626"/>
      <c r="D4" s="626"/>
      <c r="E4" s="626"/>
      <c r="F4" s="626"/>
      <c r="G4" s="1"/>
      <c r="H4" s="626" t="s">
        <v>67</v>
      </c>
      <c r="I4" s="626"/>
      <c r="J4" s="626"/>
      <c r="K4" s="626"/>
      <c r="L4" s="62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</row>
    <row r="5" spans="1:34" x14ac:dyDescent="0.3">
      <c r="B5" s="57" t="s">
        <v>3</v>
      </c>
      <c r="C5" s="189" t="s">
        <v>4</v>
      </c>
      <c r="D5" s="189" t="s">
        <v>5</v>
      </c>
      <c r="E5" s="189" t="s">
        <v>6</v>
      </c>
      <c r="F5" s="189" t="s">
        <v>252</v>
      </c>
      <c r="G5" s="222" t="s">
        <v>218</v>
      </c>
      <c r="H5" s="58" t="s">
        <v>3</v>
      </c>
      <c r="I5" s="189" t="s">
        <v>4</v>
      </c>
      <c r="J5" s="189" t="s">
        <v>5</v>
      </c>
      <c r="K5" s="189" t="s">
        <v>6</v>
      </c>
      <c r="L5" s="189" t="s">
        <v>252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</row>
    <row r="6" spans="1:34" x14ac:dyDescent="0.3">
      <c r="B6" s="56" t="s">
        <v>7</v>
      </c>
      <c r="C6" s="179"/>
      <c r="D6" s="179"/>
      <c r="E6" s="179"/>
      <c r="F6" s="179"/>
      <c r="G6" s="222">
        <v>110</v>
      </c>
      <c r="H6" s="56" t="s">
        <v>7</v>
      </c>
      <c r="I6" s="179"/>
      <c r="J6" s="179"/>
      <c r="K6" s="179"/>
      <c r="L6" s="179"/>
      <c r="M6" s="1"/>
      <c r="N6" s="1"/>
      <c r="O6" s="55" t="s">
        <v>32</v>
      </c>
      <c r="P6" s="55" t="s">
        <v>201</v>
      </c>
      <c r="Q6" s="55" t="s">
        <v>202</v>
      </c>
      <c r="R6" s="55" t="s">
        <v>35</v>
      </c>
      <c r="S6" s="55" t="s">
        <v>36</v>
      </c>
      <c r="T6" s="55" t="s">
        <v>37</v>
      </c>
      <c r="U6" s="55" t="s">
        <v>38</v>
      </c>
      <c r="V6" s="55" t="s">
        <v>39</v>
      </c>
      <c r="W6" s="55" t="s">
        <v>40</v>
      </c>
      <c r="X6" s="55" t="s">
        <v>41</v>
      </c>
      <c r="Y6" s="55" t="s">
        <v>42</v>
      </c>
      <c r="Z6" s="55" t="s">
        <v>43</v>
      </c>
      <c r="AA6" s="55" t="s">
        <v>1</v>
      </c>
      <c r="AB6" s="1" t="s">
        <v>215</v>
      </c>
      <c r="AC6" s="1"/>
      <c r="AD6" s="1"/>
      <c r="AE6" s="1"/>
      <c r="AF6" s="1"/>
      <c r="AG6" s="1"/>
      <c r="AH6" s="1"/>
    </row>
    <row r="7" spans="1:34" x14ac:dyDescent="0.3">
      <c r="B7" s="56" t="s">
        <v>8</v>
      </c>
      <c r="C7" s="179"/>
      <c r="D7" s="179"/>
      <c r="E7" s="179"/>
      <c r="F7" s="179"/>
      <c r="G7" s="222"/>
      <c r="H7" s="56" t="s">
        <v>8</v>
      </c>
      <c r="I7" s="179"/>
      <c r="J7" s="179"/>
      <c r="K7" s="179"/>
      <c r="L7" s="179"/>
      <c r="M7" s="625" t="s">
        <v>298</v>
      </c>
      <c r="N7" s="1" t="s">
        <v>3</v>
      </c>
      <c r="O7" s="55">
        <v>116</v>
      </c>
      <c r="P7" s="55">
        <v>115</v>
      </c>
      <c r="Q7" s="55">
        <v>122</v>
      </c>
      <c r="R7" s="55">
        <v>128</v>
      </c>
      <c r="S7" s="55">
        <v>132</v>
      </c>
      <c r="T7" s="55">
        <v>134</v>
      </c>
      <c r="U7" s="55">
        <v>151</v>
      </c>
      <c r="V7" s="55">
        <v>158</v>
      </c>
      <c r="W7" s="55">
        <v>133</v>
      </c>
      <c r="X7" s="55">
        <v>152</v>
      </c>
      <c r="Y7" s="55">
        <v>128</v>
      </c>
      <c r="Z7" s="55"/>
      <c r="AA7" s="55">
        <v>116</v>
      </c>
      <c r="AB7" s="55">
        <v>118</v>
      </c>
      <c r="AC7" s="1"/>
      <c r="AD7" s="1"/>
      <c r="AE7" s="1"/>
      <c r="AF7" s="1"/>
      <c r="AG7" s="1"/>
      <c r="AH7" s="1"/>
    </row>
    <row r="8" spans="1:34" x14ac:dyDescent="0.3">
      <c r="B8" s="56" t="s">
        <v>9</v>
      </c>
      <c r="C8" s="179">
        <v>133</v>
      </c>
      <c r="D8" s="179">
        <v>-1</v>
      </c>
      <c r="E8" s="179">
        <v>17</v>
      </c>
      <c r="F8" s="323">
        <f>(E8/215)</f>
        <v>7.9069767441860464E-2</v>
      </c>
      <c r="G8" s="222"/>
      <c r="H8" s="56" t="s">
        <v>9</v>
      </c>
      <c r="I8" s="179">
        <v>123</v>
      </c>
      <c r="J8" s="179"/>
      <c r="K8" s="179">
        <v>23</v>
      </c>
      <c r="L8" s="323">
        <f>(K8/215)</f>
        <v>0.10697674418604651</v>
      </c>
      <c r="M8" s="625"/>
      <c r="N8" s="1" t="s">
        <v>10</v>
      </c>
      <c r="O8" s="55">
        <v>100</v>
      </c>
      <c r="P8" s="55">
        <v>102</v>
      </c>
      <c r="Q8" s="55">
        <v>101</v>
      </c>
      <c r="R8" s="55">
        <v>101</v>
      </c>
      <c r="S8" s="55">
        <v>101</v>
      </c>
      <c r="T8" s="55">
        <v>107</v>
      </c>
      <c r="U8" s="55">
        <v>135</v>
      </c>
      <c r="V8" s="55">
        <v>113</v>
      </c>
      <c r="W8" s="55">
        <v>99</v>
      </c>
      <c r="X8" s="55">
        <v>104</v>
      </c>
      <c r="Y8" s="55">
        <v>122</v>
      </c>
      <c r="Z8" s="55"/>
      <c r="AA8" s="55">
        <v>103</v>
      </c>
      <c r="AB8" s="55">
        <v>100</v>
      </c>
      <c r="AC8" s="1"/>
      <c r="AD8" s="1"/>
      <c r="AE8" s="1"/>
      <c r="AF8" s="1"/>
      <c r="AG8" s="1"/>
      <c r="AH8" s="1"/>
    </row>
    <row r="9" spans="1:34" x14ac:dyDescent="0.3">
      <c r="B9" s="626" t="s">
        <v>1</v>
      </c>
      <c r="C9" s="626"/>
      <c r="D9" s="626"/>
      <c r="E9" s="626"/>
      <c r="F9" s="626"/>
      <c r="G9" s="222"/>
      <c r="H9" s="626" t="s">
        <v>67</v>
      </c>
      <c r="I9" s="626"/>
      <c r="J9" s="626"/>
      <c r="K9" s="626"/>
      <c r="L9" s="626"/>
      <c r="M9" s="625"/>
      <c r="N9" s="1" t="s">
        <v>200</v>
      </c>
      <c r="O9" s="55">
        <v>110</v>
      </c>
      <c r="P9" s="55">
        <v>110</v>
      </c>
      <c r="Q9" s="55">
        <v>114</v>
      </c>
      <c r="R9" s="55">
        <v>117</v>
      </c>
      <c r="S9" s="55">
        <v>119</v>
      </c>
      <c r="T9" s="55">
        <v>123</v>
      </c>
      <c r="U9" s="55">
        <v>145</v>
      </c>
      <c r="V9" s="55">
        <v>143</v>
      </c>
      <c r="W9" s="55">
        <v>125</v>
      </c>
      <c r="X9" s="55">
        <v>131</v>
      </c>
      <c r="Y9" s="55">
        <v>126</v>
      </c>
      <c r="Z9" s="55"/>
      <c r="AA9" s="55">
        <v>111</v>
      </c>
      <c r="AB9" s="55">
        <v>110</v>
      </c>
      <c r="AC9" s="1"/>
      <c r="AD9" s="1"/>
      <c r="AE9" s="1"/>
      <c r="AF9" s="1"/>
      <c r="AG9" s="1"/>
      <c r="AH9" s="1"/>
    </row>
    <row r="10" spans="1:34" x14ac:dyDescent="0.3">
      <c r="B10" s="57" t="s">
        <v>10</v>
      </c>
      <c r="C10" s="189" t="s">
        <v>4</v>
      </c>
      <c r="D10" s="189" t="s">
        <v>5</v>
      </c>
      <c r="E10" s="189" t="s">
        <v>6</v>
      </c>
      <c r="F10" s="189" t="s">
        <v>252</v>
      </c>
      <c r="G10" s="222" t="s">
        <v>218</v>
      </c>
      <c r="H10" s="58" t="s">
        <v>10</v>
      </c>
      <c r="I10" s="189" t="s">
        <v>4</v>
      </c>
      <c r="J10" s="189" t="s">
        <v>5</v>
      </c>
      <c r="K10" s="189" t="s">
        <v>6</v>
      </c>
      <c r="L10" s="189" t="s">
        <v>252</v>
      </c>
      <c r="M10" s="625" t="s">
        <v>433</v>
      </c>
      <c r="N10" s="1" t="s">
        <v>3</v>
      </c>
      <c r="O10" s="55">
        <v>19.600000000000001</v>
      </c>
      <c r="P10" s="55">
        <v>19.3</v>
      </c>
      <c r="Q10" s="55">
        <v>19.7</v>
      </c>
      <c r="R10" s="55">
        <v>18.399999999999999</v>
      </c>
      <c r="S10" s="55">
        <v>16.7</v>
      </c>
      <c r="T10" s="55">
        <v>18.5</v>
      </c>
      <c r="U10" s="55">
        <v>18.600000000000001</v>
      </c>
      <c r="V10" s="55">
        <v>18.2</v>
      </c>
      <c r="W10" s="55">
        <v>17.7</v>
      </c>
      <c r="X10" s="55">
        <v>19.3</v>
      </c>
      <c r="Y10" s="55"/>
      <c r="Z10" s="55"/>
      <c r="AA10" s="55"/>
      <c r="AB10" s="55"/>
      <c r="AC10" s="1"/>
      <c r="AD10" s="1"/>
      <c r="AE10" s="1"/>
      <c r="AF10" s="1"/>
      <c r="AG10" s="1"/>
    </row>
    <row r="11" spans="1:34" x14ac:dyDescent="0.3">
      <c r="B11" s="56" t="s">
        <v>7</v>
      </c>
      <c r="C11" s="179"/>
      <c r="D11" s="179"/>
      <c r="E11" s="179"/>
      <c r="F11" s="179"/>
      <c r="G11" s="222">
        <v>110</v>
      </c>
      <c r="H11" s="56" t="s">
        <v>7</v>
      </c>
      <c r="I11" s="179"/>
      <c r="J11" s="179"/>
      <c r="K11" s="179"/>
      <c r="L11" s="179"/>
      <c r="M11" s="625"/>
      <c r="N11" s="1" t="s">
        <v>10</v>
      </c>
      <c r="O11" s="55">
        <v>18.600000000000001</v>
      </c>
      <c r="P11" s="55">
        <v>18.8</v>
      </c>
      <c r="Q11" s="55">
        <v>19.7</v>
      </c>
      <c r="R11" s="55">
        <v>18.8</v>
      </c>
      <c r="S11" s="55">
        <v>17.600000000000001</v>
      </c>
      <c r="T11" s="55">
        <v>19.2</v>
      </c>
      <c r="U11" s="55">
        <v>21.2</v>
      </c>
      <c r="V11" s="55">
        <v>18.899999999999999</v>
      </c>
      <c r="W11" s="55">
        <v>17.8</v>
      </c>
      <c r="X11" s="55">
        <v>19.3</v>
      </c>
      <c r="Y11" s="55"/>
      <c r="Z11" s="55"/>
      <c r="AA11" s="55"/>
      <c r="AB11" s="55"/>
      <c r="AC11" s="1"/>
      <c r="AD11" s="1"/>
      <c r="AE11" s="1"/>
      <c r="AF11" s="1"/>
      <c r="AG11" s="1"/>
    </row>
    <row r="12" spans="1:34" x14ac:dyDescent="0.3">
      <c r="B12" s="56" t="s">
        <v>8</v>
      </c>
      <c r="C12" s="179"/>
      <c r="D12" s="179"/>
      <c r="E12" s="179"/>
      <c r="F12" s="179"/>
      <c r="G12" s="222"/>
      <c r="H12" s="56" t="s">
        <v>8</v>
      </c>
      <c r="I12" s="179"/>
      <c r="J12" s="179"/>
      <c r="K12" s="179"/>
      <c r="L12" s="179"/>
      <c r="M12" s="625"/>
      <c r="N12" s="1" t="s">
        <v>200</v>
      </c>
      <c r="O12" s="55" t="s">
        <v>434</v>
      </c>
      <c r="P12" s="55">
        <v>19.100000000000001</v>
      </c>
      <c r="Q12" s="55">
        <v>19.7</v>
      </c>
      <c r="R12" s="55">
        <v>18.5</v>
      </c>
      <c r="S12" s="55">
        <v>17.100000000000001</v>
      </c>
      <c r="T12" s="55">
        <v>18.2</v>
      </c>
      <c r="U12" s="55">
        <v>19.600000000000001</v>
      </c>
      <c r="V12" s="55">
        <v>18.5</v>
      </c>
      <c r="W12" s="55">
        <v>17.7</v>
      </c>
      <c r="X12" s="55">
        <v>19.3</v>
      </c>
      <c r="Y12" s="55"/>
      <c r="Z12" s="55"/>
      <c r="AA12" s="55"/>
      <c r="AB12" s="55"/>
      <c r="AC12" s="1"/>
      <c r="AD12" s="1"/>
      <c r="AE12" s="1"/>
      <c r="AF12" s="1"/>
      <c r="AG12" s="1"/>
    </row>
    <row r="13" spans="1:34" x14ac:dyDescent="0.3">
      <c r="B13" s="56" t="s">
        <v>9</v>
      </c>
      <c r="C13" s="179">
        <v>107</v>
      </c>
      <c r="D13" s="179">
        <v>1</v>
      </c>
      <c r="E13" s="179">
        <v>3</v>
      </c>
      <c r="F13" s="323">
        <f>(E13/215)</f>
        <v>1.3953488372093023E-2</v>
      </c>
      <c r="G13" s="221"/>
      <c r="H13" s="56" t="s">
        <v>9</v>
      </c>
      <c r="I13" s="179">
        <v>106</v>
      </c>
      <c r="J13" s="179"/>
      <c r="K13" s="179">
        <v>9</v>
      </c>
      <c r="L13" s="323">
        <f>(K13/215)</f>
        <v>4.1860465116279069E-2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</row>
    <row r="14" spans="1:34" x14ac:dyDescent="0.3">
      <c r="B14" s="626" t="s">
        <v>20</v>
      </c>
      <c r="C14" s="626"/>
      <c r="D14" s="626"/>
      <c r="E14" s="626"/>
      <c r="F14" s="626"/>
      <c r="G14" s="1"/>
      <c r="H14" s="627" t="s">
        <v>20</v>
      </c>
      <c r="I14" s="627"/>
      <c r="J14" s="627"/>
      <c r="K14" s="627"/>
      <c r="L14" s="627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</row>
    <row r="15" spans="1:34" x14ac:dyDescent="0.3">
      <c r="B15" s="545" t="s">
        <v>20</v>
      </c>
      <c r="C15" s="189" t="s">
        <v>4</v>
      </c>
      <c r="D15" s="189" t="s">
        <v>5</v>
      </c>
      <c r="E15" s="189" t="s">
        <v>6</v>
      </c>
      <c r="F15" s="189" t="s">
        <v>252</v>
      </c>
      <c r="G15" s="222" t="s">
        <v>430</v>
      </c>
      <c r="H15" s="545" t="s">
        <v>20</v>
      </c>
      <c r="I15" s="189" t="s">
        <v>4</v>
      </c>
      <c r="J15" s="189" t="s">
        <v>5</v>
      </c>
      <c r="K15" s="189" t="s">
        <v>6</v>
      </c>
      <c r="L15" s="189" t="s">
        <v>252</v>
      </c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</row>
    <row r="16" spans="1:34" x14ac:dyDescent="0.3">
      <c r="B16" s="56" t="s">
        <v>3</v>
      </c>
      <c r="C16" s="179">
        <v>81</v>
      </c>
      <c r="D16" s="179">
        <v>-1</v>
      </c>
      <c r="E16" s="179">
        <v>53</v>
      </c>
      <c r="F16" s="323">
        <f>(E16/215)</f>
        <v>0.24651162790697675</v>
      </c>
      <c r="G16" s="222">
        <v>170</v>
      </c>
      <c r="H16" s="56" t="s">
        <v>3</v>
      </c>
      <c r="I16" s="179">
        <v>65</v>
      </c>
      <c r="J16" s="179"/>
      <c r="K16" s="179">
        <v>14</v>
      </c>
      <c r="L16" s="323">
        <f>(K16/215)</f>
        <v>6.5116279069767441E-2</v>
      </c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</row>
    <row r="17" spans="1:33" x14ac:dyDescent="0.3">
      <c r="B17" s="56" t="s">
        <v>10</v>
      </c>
      <c r="C17" s="179">
        <v>74</v>
      </c>
      <c r="D17" s="179">
        <v>2</v>
      </c>
      <c r="E17" s="179">
        <v>29</v>
      </c>
      <c r="F17" s="323">
        <f>(E17/215)</f>
        <v>0.13488372093023257</v>
      </c>
      <c r="G17" s="1"/>
      <c r="H17" s="56" t="s">
        <v>10</v>
      </c>
      <c r="I17" s="179">
        <v>79</v>
      </c>
      <c r="J17" s="179"/>
      <c r="K17" s="179">
        <v>52</v>
      </c>
      <c r="L17" s="323">
        <f>(K17/215)</f>
        <v>0.24186046511627907</v>
      </c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</row>
    <row r="18" spans="1:33" x14ac:dyDescent="0.3">
      <c r="B18" s="1"/>
      <c r="C18" s="1"/>
      <c r="D18" s="1"/>
      <c r="E18" s="1"/>
      <c r="F18" s="1"/>
      <c r="G18" s="1"/>
      <c r="H18" s="1"/>
      <c r="I18" s="1"/>
      <c r="J18" s="1"/>
      <c r="K18" s="1" t="s">
        <v>214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</row>
    <row r="19" spans="1:33" ht="21" x14ac:dyDescent="0.4">
      <c r="A19" s="1"/>
      <c r="B19" s="543" t="s">
        <v>11</v>
      </c>
      <c r="C19" s="543"/>
      <c r="D19" s="543"/>
      <c r="E19" s="543"/>
      <c r="F19" s="543"/>
      <c r="G19" s="543"/>
      <c r="H19" s="543"/>
      <c r="I19" s="543"/>
      <c r="J19" s="543"/>
      <c r="K19" s="543"/>
      <c r="L19" s="543"/>
      <c r="M19" s="543"/>
      <c r="N19" s="543"/>
      <c r="O19" s="543"/>
      <c r="P19" s="543"/>
      <c r="Q19" s="543"/>
      <c r="R19" s="543"/>
      <c r="S19" s="543"/>
      <c r="T19" s="543"/>
      <c r="U19" s="543"/>
      <c r="V19" s="543"/>
      <c r="W19" s="543"/>
      <c r="X19" s="543"/>
      <c r="Y19" s="543"/>
      <c r="Z19" s="543"/>
      <c r="AA19" s="543"/>
      <c r="AB19" s="1"/>
      <c r="AC19" s="1"/>
      <c r="AD19" s="1"/>
      <c r="AE19" s="1"/>
      <c r="AF19" s="1"/>
      <c r="AG19" s="1"/>
    </row>
    <row r="20" spans="1:33" x14ac:dyDescent="0.3"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</row>
    <row r="21" spans="1:33" ht="15" thickBot="1" x14ac:dyDescent="0.35">
      <c r="B21" s="1"/>
      <c r="C21" s="645" t="s">
        <v>205</v>
      </c>
      <c r="D21" s="645"/>
      <c r="E21" s="645"/>
      <c r="F21" s="645"/>
      <c r="G21" s="645"/>
      <c r="H21" s="645"/>
      <c r="I21" s="645"/>
      <c r="J21" s="645"/>
      <c r="K21" s="544" t="s">
        <v>12</v>
      </c>
      <c r="L21" s="544"/>
      <c r="M21" s="544"/>
      <c r="N21" s="544"/>
      <c r="O21" s="544"/>
      <c r="P21" s="544"/>
      <c r="Q21" s="544"/>
      <c r="R21" s="544"/>
      <c r="S21" s="220"/>
      <c r="T21" s="220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</row>
    <row r="22" spans="1:33" x14ac:dyDescent="0.3">
      <c r="B22" s="1"/>
      <c r="C22" s="631" t="s">
        <v>67</v>
      </c>
      <c r="D22" s="632"/>
      <c r="E22" s="632"/>
      <c r="F22" s="633"/>
      <c r="G22" s="631" t="s">
        <v>14</v>
      </c>
      <c r="H22" s="632"/>
      <c r="I22" s="632"/>
      <c r="J22" s="633"/>
      <c r="K22" s="634" t="s">
        <v>67</v>
      </c>
      <c r="L22" s="635"/>
      <c r="M22" s="635"/>
      <c r="N22" s="636"/>
      <c r="O22" s="631" t="s">
        <v>14</v>
      </c>
      <c r="P22" s="632"/>
      <c r="Q22" s="632"/>
      <c r="R22" s="633"/>
      <c r="S22" s="644"/>
      <c r="T22" s="625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</row>
    <row r="23" spans="1:33" x14ac:dyDescent="0.3">
      <c r="B23" s="1"/>
      <c r="C23" s="59" t="s">
        <v>15</v>
      </c>
      <c r="D23" s="189" t="s">
        <v>27</v>
      </c>
      <c r="E23" s="189" t="s">
        <v>435</v>
      </c>
      <c r="F23" s="60" t="s">
        <v>343</v>
      </c>
      <c r="G23" s="638" t="s">
        <v>15</v>
      </c>
      <c r="H23" s="639"/>
      <c r="I23" s="629" t="s">
        <v>16</v>
      </c>
      <c r="J23" s="630"/>
      <c r="K23" s="59" t="s">
        <v>15</v>
      </c>
      <c r="L23" s="189" t="s">
        <v>27</v>
      </c>
      <c r="M23" s="189" t="s">
        <v>24</v>
      </c>
      <c r="N23" s="60" t="s">
        <v>343</v>
      </c>
      <c r="O23" s="638" t="s">
        <v>15</v>
      </c>
      <c r="P23" s="639"/>
      <c r="Q23" s="629" t="s">
        <v>16</v>
      </c>
      <c r="R23" s="630"/>
      <c r="S23" s="644"/>
      <c r="T23" s="625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</row>
    <row r="24" spans="1:33" ht="15" thickBot="1" x14ac:dyDescent="0.35">
      <c r="B24" s="1"/>
      <c r="C24" s="176">
        <v>96.55</v>
      </c>
      <c r="D24" s="177">
        <v>97.78</v>
      </c>
      <c r="E24" s="177">
        <v>93.33</v>
      </c>
      <c r="F24" s="178">
        <v>93.33</v>
      </c>
      <c r="G24" s="640">
        <v>95.87</v>
      </c>
      <c r="H24" s="641"/>
      <c r="I24" s="642">
        <v>96.79</v>
      </c>
      <c r="J24" s="643"/>
      <c r="K24" s="176">
        <v>98.51</v>
      </c>
      <c r="L24" s="177">
        <v>100</v>
      </c>
      <c r="M24" s="177">
        <v>100</v>
      </c>
      <c r="N24" s="178">
        <v>100</v>
      </c>
      <c r="O24" s="640"/>
      <c r="P24" s="641"/>
      <c r="Q24" s="642"/>
      <c r="R24" s="643"/>
      <c r="S24" s="644"/>
      <c r="T24" s="625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</row>
    <row r="25" spans="1:33" x14ac:dyDescent="0.3"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</row>
    <row r="26" spans="1:33" x14ac:dyDescent="0.3">
      <c r="B26" s="1"/>
      <c r="C26" s="190" t="s">
        <v>15</v>
      </c>
      <c r="D26" s="197" t="s">
        <v>32</v>
      </c>
      <c r="E26" s="197" t="s">
        <v>33</v>
      </c>
      <c r="F26" s="197" t="s">
        <v>34</v>
      </c>
      <c r="G26" s="197" t="s">
        <v>35</v>
      </c>
      <c r="H26" s="197" t="s">
        <v>36</v>
      </c>
      <c r="I26" s="197" t="s">
        <v>37</v>
      </c>
      <c r="J26" s="197" t="s">
        <v>38</v>
      </c>
      <c r="K26" s="197" t="s">
        <v>39</v>
      </c>
      <c r="L26" s="197" t="s">
        <v>40</v>
      </c>
      <c r="M26" s="197" t="s">
        <v>41</v>
      </c>
      <c r="N26" s="197" t="s">
        <v>42</v>
      </c>
      <c r="O26" s="197" t="s">
        <v>43</v>
      </c>
      <c r="P26" s="197" t="s">
        <v>1</v>
      </c>
      <c r="Q26" s="217" t="s">
        <v>215</v>
      </c>
      <c r="R26" s="222" t="s">
        <v>218</v>
      </c>
      <c r="S26" s="222" t="s">
        <v>430</v>
      </c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</row>
    <row r="27" spans="1:33" x14ac:dyDescent="0.3">
      <c r="B27" s="1"/>
      <c r="C27" s="59" t="s">
        <v>18</v>
      </c>
      <c r="D27" s="59" t="s">
        <v>405</v>
      </c>
      <c r="E27" s="59">
        <v>96.5</v>
      </c>
      <c r="F27" s="59">
        <v>95.74</v>
      </c>
      <c r="G27" s="59">
        <v>97.03</v>
      </c>
      <c r="H27" s="59">
        <v>96.13</v>
      </c>
      <c r="I27" s="59">
        <v>95.16</v>
      </c>
      <c r="J27" s="59">
        <v>95.87</v>
      </c>
      <c r="K27" s="59">
        <v>96.43</v>
      </c>
      <c r="L27" s="59">
        <v>95.47</v>
      </c>
      <c r="M27" s="59">
        <v>96.4</v>
      </c>
      <c r="N27" s="59">
        <v>95.39</v>
      </c>
      <c r="O27" s="59">
        <v>93.3</v>
      </c>
      <c r="P27" s="59">
        <v>95.34</v>
      </c>
      <c r="Q27" s="218">
        <v>94.76</v>
      </c>
      <c r="R27" s="225">
        <v>95</v>
      </c>
      <c r="S27" s="224">
        <v>90.65</v>
      </c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</row>
    <row r="28" spans="1:33" ht="15" thickBot="1" x14ac:dyDescent="0.35">
      <c r="B28" s="1"/>
      <c r="C28" s="176" t="s">
        <v>22</v>
      </c>
      <c r="D28" s="176" t="s">
        <v>406</v>
      </c>
      <c r="E28" s="176">
        <v>97.68</v>
      </c>
      <c r="F28" s="176">
        <v>96.41</v>
      </c>
      <c r="G28" s="176">
        <v>96.66</v>
      </c>
      <c r="H28" s="176">
        <v>97.46</v>
      </c>
      <c r="I28" s="176">
        <v>98.35</v>
      </c>
      <c r="J28" s="176">
        <v>97.19</v>
      </c>
      <c r="K28" s="176">
        <v>97.45</v>
      </c>
      <c r="L28" s="176">
        <v>98.28</v>
      </c>
      <c r="M28" s="176">
        <v>96.63</v>
      </c>
      <c r="N28" s="176">
        <v>96.63</v>
      </c>
      <c r="O28" s="176">
        <v>100</v>
      </c>
      <c r="P28" s="176">
        <v>97.24</v>
      </c>
      <c r="Q28" s="219">
        <v>95.6</v>
      </c>
      <c r="R28" s="225">
        <v>95</v>
      </c>
      <c r="S28" s="224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</row>
    <row r="29" spans="1:33" x14ac:dyDescent="0.3"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</row>
    <row r="30" spans="1:33" x14ac:dyDescent="0.3">
      <c r="B30" s="1"/>
      <c r="C30" s="197" t="s">
        <v>233</v>
      </c>
      <c r="D30" s="197"/>
      <c r="E30" s="197"/>
      <c r="F30" s="197"/>
      <c r="G30" s="197"/>
      <c r="H30" s="197"/>
      <c r="I30" s="197"/>
      <c r="J30" s="197"/>
      <c r="K30" s="197"/>
      <c r="L30" s="197"/>
      <c r="M30" s="197"/>
      <c r="N30" s="197"/>
      <c r="O30" s="197"/>
      <c r="P30" s="197"/>
      <c r="Q30" s="197"/>
      <c r="R30" s="1"/>
      <c r="S30" s="204"/>
      <c r="T30" s="205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</row>
    <row r="31" spans="1:33" x14ac:dyDescent="0.3">
      <c r="B31" s="1"/>
      <c r="C31" s="628" t="s">
        <v>17</v>
      </c>
      <c r="D31" s="628"/>
      <c r="E31" s="174">
        <v>275602</v>
      </c>
      <c r="F31" s="190" t="s">
        <v>18</v>
      </c>
      <c r="G31" s="189" t="s">
        <v>19</v>
      </c>
      <c r="H31" s="189" t="s">
        <v>20</v>
      </c>
      <c r="I31" s="189" t="s">
        <v>21</v>
      </c>
      <c r="J31" s="190" t="s">
        <v>22</v>
      </c>
      <c r="K31" s="189" t="s">
        <v>19</v>
      </c>
      <c r="L31" s="189" t="s">
        <v>20</v>
      </c>
      <c r="M31" s="189" t="s">
        <v>21</v>
      </c>
      <c r="N31" s="190" t="s">
        <v>215</v>
      </c>
      <c r="O31" s="237" t="s">
        <v>3</v>
      </c>
      <c r="P31" s="237" t="s">
        <v>10</v>
      </c>
      <c r="Q31" s="237" t="s">
        <v>216</v>
      </c>
      <c r="R31" s="222"/>
      <c r="S31" s="204"/>
      <c r="T31" s="205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</row>
    <row r="32" spans="1:33" x14ac:dyDescent="0.3">
      <c r="B32" s="1"/>
      <c r="C32" s="628" t="s">
        <v>23</v>
      </c>
      <c r="D32" s="628"/>
      <c r="E32" s="175">
        <v>173866</v>
      </c>
      <c r="F32" s="61" t="s">
        <v>24</v>
      </c>
      <c r="G32" s="169"/>
      <c r="H32" s="169"/>
      <c r="I32" s="62">
        <f>SUM(G32:H32)</f>
        <v>0</v>
      </c>
      <c r="J32" s="61" t="s">
        <v>24</v>
      </c>
      <c r="K32" s="169"/>
      <c r="L32" s="169"/>
      <c r="M32" s="62">
        <f>SUM(K32:L32)</f>
        <v>0</v>
      </c>
      <c r="N32" s="235" t="s">
        <v>19</v>
      </c>
      <c r="O32" s="234">
        <v>2</v>
      </c>
      <c r="P32" s="234">
        <v>3</v>
      </c>
      <c r="Q32" s="234">
        <f>O32+P32</f>
        <v>5</v>
      </c>
      <c r="R32" s="225"/>
      <c r="S32" s="222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</row>
    <row r="33" spans="1:33" x14ac:dyDescent="0.3">
      <c r="B33" s="1"/>
      <c r="C33" s="628" t="s">
        <v>25</v>
      </c>
      <c r="D33" s="628"/>
      <c r="E33" s="63">
        <f>((SUM(I32:I34)+SUM(M32:M34))/(E31+E32))*100000</f>
        <v>0.22248524922797619</v>
      </c>
      <c r="F33" s="61" t="s">
        <v>26</v>
      </c>
      <c r="G33" s="169"/>
      <c r="H33" s="169"/>
      <c r="I33" s="62">
        <f>SUM(G33:H33)</f>
        <v>0</v>
      </c>
      <c r="J33" s="61" t="s">
        <v>26</v>
      </c>
      <c r="K33" s="169"/>
      <c r="L33" s="169">
        <v>1</v>
      </c>
      <c r="M33" s="62">
        <f>SUM(K33:L33)</f>
        <v>1</v>
      </c>
      <c r="N33" s="235" t="s">
        <v>20</v>
      </c>
      <c r="O33" s="234">
        <v>2</v>
      </c>
      <c r="P33" s="234">
        <v>6</v>
      </c>
      <c r="Q33" s="234">
        <f>O33+P33</f>
        <v>8</v>
      </c>
      <c r="R33" s="225"/>
      <c r="S33" s="224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</row>
    <row r="34" spans="1:33" x14ac:dyDescent="0.3">
      <c r="B34" s="1"/>
      <c r="C34" s="1"/>
      <c r="D34" s="1"/>
      <c r="E34" s="1"/>
      <c r="F34" s="61" t="s">
        <v>27</v>
      </c>
      <c r="G34" s="169"/>
      <c r="H34" s="169"/>
      <c r="I34" s="62">
        <f>SUM(G34:H34)</f>
        <v>0</v>
      </c>
      <c r="J34" s="61" t="s">
        <v>27</v>
      </c>
      <c r="K34" s="169"/>
      <c r="L34" s="169"/>
      <c r="M34" s="62">
        <f>SUM(K34:L34)</f>
        <v>0</v>
      </c>
      <c r="N34" s="235" t="s">
        <v>217</v>
      </c>
      <c r="O34" s="234">
        <v>298405</v>
      </c>
      <c r="P34" s="234">
        <v>191877</v>
      </c>
      <c r="Q34" s="234">
        <f>O34+P34</f>
        <v>490282</v>
      </c>
      <c r="R34" s="249"/>
      <c r="S34" s="250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</row>
    <row r="35" spans="1:33" x14ac:dyDescent="0.3">
      <c r="A35" s="1"/>
      <c r="B35" s="1"/>
      <c r="C35" s="1"/>
      <c r="D35" s="1"/>
      <c r="E35" s="1"/>
      <c r="F35" s="61" t="s">
        <v>28</v>
      </c>
      <c r="G35" s="64">
        <f>(SUM(G32:G34)/E31)*100000</f>
        <v>0</v>
      </c>
      <c r="H35" s="64">
        <f>(SUM(H32:H34)/E31)*100000</f>
        <v>0</v>
      </c>
      <c r="I35" s="65">
        <f>(SUM(I32:I34)/E31)*100000</f>
        <v>0</v>
      </c>
      <c r="J35" s="61" t="s">
        <v>28</v>
      </c>
      <c r="K35" s="324">
        <f>(SUM(K32:K34)/E32)*100000</f>
        <v>0</v>
      </c>
      <c r="L35" s="64">
        <f>(SUM(L32:L34)/E32)*100000</f>
        <v>0.57515557958427754</v>
      </c>
      <c r="M35" s="65">
        <f>(SUM(M32:M34)/E32)*100000</f>
        <v>0.57515557958427754</v>
      </c>
      <c r="N35" s="235" t="s">
        <v>28</v>
      </c>
      <c r="O35" s="236">
        <v>1.34</v>
      </c>
      <c r="P35" s="236">
        <v>4.6900000000000004</v>
      </c>
      <c r="Q35" s="236">
        <v>2.65</v>
      </c>
      <c r="R35" s="251"/>
      <c r="S35" s="252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</row>
    <row r="36" spans="1:33" x14ac:dyDescent="0.3"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</row>
    <row r="37" spans="1:33" x14ac:dyDescent="0.3">
      <c r="B37" s="1"/>
      <c r="C37" s="1"/>
      <c r="D37" s="190" t="s">
        <v>230</v>
      </c>
      <c r="E37" s="197" t="s">
        <v>32</v>
      </c>
      <c r="F37" s="197" t="s">
        <v>33</v>
      </c>
      <c r="G37" s="197" t="s">
        <v>34</v>
      </c>
      <c r="H37" s="197" t="s">
        <v>35</v>
      </c>
      <c r="I37" s="197" t="s">
        <v>36</v>
      </c>
      <c r="J37" s="197" t="s">
        <v>37</v>
      </c>
      <c r="K37" s="197" t="s">
        <v>38</v>
      </c>
      <c r="L37" s="197" t="s">
        <v>39</v>
      </c>
      <c r="M37" s="197" t="s">
        <v>40</v>
      </c>
      <c r="N37" s="197" t="s">
        <v>41</v>
      </c>
      <c r="O37" s="197" t="s">
        <v>42</v>
      </c>
      <c r="P37" s="197" t="s">
        <v>43</v>
      </c>
      <c r="Q37" s="253" t="s">
        <v>218</v>
      </c>
      <c r="R37" s="253"/>
      <c r="S37" s="222" t="s">
        <v>430</v>
      </c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</row>
    <row r="38" spans="1:33" x14ac:dyDescent="0.3">
      <c r="B38" s="1"/>
      <c r="C38" s="1"/>
      <c r="D38" s="59" t="s">
        <v>18</v>
      </c>
      <c r="E38" s="59">
        <v>0</v>
      </c>
      <c r="F38" s="59">
        <v>0</v>
      </c>
      <c r="G38" s="59">
        <v>0</v>
      </c>
      <c r="H38" s="59">
        <v>0</v>
      </c>
      <c r="I38" s="59">
        <v>0</v>
      </c>
      <c r="J38" s="59">
        <v>0</v>
      </c>
      <c r="K38" s="59">
        <v>0</v>
      </c>
      <c r="L38" s="59">
        <v>0</v>
      </c>
      <c r="M38" s="59">
        <v>0</v>
      </c>
      <c r="N38" s="59"/>
      <c r="O38" s="59"/>
      <c r="P38" s="59"/>
      <c r="Q38" s="252">
        <v>2</v>
      </c>
      <c r="R38" s="250">
        <v>4</v>
      </c>
      <c r="S38" s="224" t="s">
        <v>431</v>
      </c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</row>
    <row r="39" spans="1:33" ht="15" thickBot="1" x14ac:dyDescent="0.35">
      <c r="B39" s="1"/>
      <c r="C39" s="1"/>
      <c r="D39" s="176" t="s">
        <v>22</v>
      </c>
      <c r="E39" s="176">
        <v>0</v>
      </c>
      <c r="F39" s="176">
        <v>0</v>
      </c>
      <c r="G39" s="176">
        <v>0</v>
      </c>
      <c r="H39" s="176">
        <v>0</v>
      </c>
      <c r="I39" s="176">
        <v>0</v>
      </c>
      <c r="J39" s="176">
        <v>1</v>
      </c>
      <c r="K39" s="176">
        <v>0</v>
      </c>
      <c r="L39" s="176">
        <v>0</v>
      </c>
      <c r="M39" s="176">
        <v>0</v>
      </c>
      <c r="N39" s="176"/>
      <c r="O39" s="176"/>
      <c r="P39" s="176"/>
      <c r="Q39" s="252">
        <v>2</v>
      </c>
      <c r="R39" s="250">
        <v>3</v>
      </c>
      <c r="S39" s="224" t="s">
        <v>432</v>
      </c>
      <c r="T39" s="1"/>
      <c r="U39" s="1"/>
      <c r="V39" s="1"/>
      <c r="W39" s="1"/>
      <c r="X39" s="1"/>
      <c r="Y39" s="1"/>
      <c r="Z39" s="1"/>
      <c r="AA39" s="1"/>
      <c r="AB39" s="1"/>
      <c r="AC39" s="1" t="s">
        <v>214</v>
      </c>
      <c r="AD39" s="1"/>
      <c r="AE39" s="1"/>
      <c r="AF39" s="1"/>
      <c r="AG39" s="1"/>
    </row>
    <row r="40" spans="1:33" x14ac:dyDescent="0.3"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227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</row>
    <row r="41" spans="1:33" x14ac:dyDescent="0.3"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</row>
    <row r="42" spans="1:33" x14ac:dyDescent="0.3">
      <c r="B42" s="1"/>
      <c r="C42" s="1"/>
      <c r="D42" s="1"/>
      <c r="E42" s="620" t="s">
        <v>29</v>
      </c>
      <c r="F42" s="620"/>
      <c r="G42" s="620"/>
      <c r="H42" s="620"/>
      <c r="I42" s="620"/>
      <c r="J42" s="620"/>
      <c r="K42" s="620"/>
      <c r="L42" s="620"/>
      <c r="M42" s="620"/>
      <c r="N42" s="620"/>
      <c r="O42" s="620"/>
      <c r="P42" s="620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</row>
    <row r="43" spans="1:33" x14ac:dyDescent="0.3">
      <c r="B43" s="1"/>
      <c r="C43" s="1"/>
      <c r="D43" s="1"/>
      <c r="E43" s="189" t="s">
        <v>18</v>
      </c>
      <c r="F43" s="189" t="s">
        <v>5</v>
      </c>
      <c r="G43" s="189" t="s">
        <v>203</v>
      </c>
      <c r="H43" s="189" t="s">
        <v>204</v>
      </c>
      <c r="I43" s="189" t="s">
        <v>22</v>
      </c>
      <c r="J43" s="189" t="s">
        <v>22</v>
      </c>
      <c r="K43" s="189" t="s">
        <v>5</v>
      </c>
      <c r="L43" s="189" t="s">
        <v>203</v>
      </c>
      <c r="M43" s="189" t="s">
        <v>204</v>
      </c>
      <c r="N43" s="190" t="s">
        <v>215</v>
      </c>
      <c r="O43" s="237" t="s">
        <v>18</v>
      </c>
      <c r="P43" s="237" t="s">
        <v>10</v>
      </c>
      <c r="Q43" s="222"/>
      <c r="R43" s="222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</row>
    <row r="44" spans="1:33" hidden="1" x14ac:dyDescent="0.3">
      <c r="B44" s="1"/>
      <c r="C44" s="1"/>
      <c r="D44" s="66"/>
      <c r="E44" s="169">
        <v>4.2</v>
      </c>
      <c r="F44" s="169">
        <v>0</v>
      </c>
      <c r="G44" s="169">
        <v>3459</v>
      </c>
      <c r="H44" s="169">
        <v>105</v>
      </c>
      <c r="I44" s="66"/>
      <c r="J44" s="169">
        <v>4.3</v>
      </c>
      <c r="K44" s="169">
        <v>0</v>
      </c>
      <c r="L44" s="169">
        <v>3094</v>
      </c>
      <c r="M44" s="169">
        <v>33</v>
      </c>
      <c r="N44" s="238"/>
      <c r="O44" s="240">
        <v>4.0999999999999996</v>
      </c>
      <c r="P44" s="234">
        <v>4.2</v>
      </c>
      <c r="Q44" s="222"/>
      <c r="R44" s="222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</row>
    <row r="45" spans="1:33" x14ac:dyDescent="0.3">
      <c r="B45" s="1"/>
      <c r="C45" s="1"/>
      <c r="D45" s="66"/>
      <c r="E45" s="169">
        <v>4.2</v>
      </c>
      <c r="F45" s="169"/>
      <c r="G45" s="169">
        <v>4004</v>
      </c>
      <c r="H45" s="169">
        <v>39</v>
      </c>
      <c r="I45" s="66"/>
      <c r="J45" s="169">
        <v>4.3</v>
      </c>
      <c r="K45" s="169"/>
      <c r="L45" s="169">
        <v>3605</v>
      </c>
      <c r="M45" s="169">
        <v>35</v>
      </c>
      <c r="N45" s="238"/>
      <c r="O45" s="234">
        <v>4.2</v>
      </c>
      <c r="P45" s="234">
        <v>4.3</v>
      </c>
      <c r="Q45" s="222"/>
      <c r="R45" s="222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</row>
    <row r="46" spans="1:33" x14ac:dyDescent="0.3">
      <c r="B46" s="1"/>
      <c r="C46" s="1"/>
      <c r="D46" s="66" t="s">
        <v>30</v>
      </c>
      <c r="E46" s="169">
        <v>4.2</v>
      </c>
      <c r="F46" s="169"/>
      <c r="G46" s="169"/>
      <c r="H46" s="169"/>
      <c r="I46" s="66"/>
      <c r="J46" s="169">
        <v>4.3</v>
      </c>
      <c r="K46" s="169"/>
      <c r="L46" s="169"/>
      <c r="M46" s="169"/>
      <c r="N46" s="238" t="s">
        <v>30</v>
      </c>
      <c r="O46" s="234">
        <v>4.5</v>
      </c>
      <c r="P46" s="234">
        <v>4.5</v>
      </c>
      <c r="Q46" s="222"/>
      <c r="R46" s="222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</row>
    <row r="47" spans="1:33" x14ac:dyDescent="0.3"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22"/>
      <c r="R47" s="222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</row>
    <row r="48" spans="1:33" x14ac:dyDescent="0.3">
      <c r="B48" s="1"/>
      <c r="C48" s="1"/>
      <c r="D48" s="190" t="s">
        <v>223</v>
      </c>
      <c r="E48" s="197" t="s">
        <v>32</v>
      </c>
      <c r="F48" s="197" t="s">
        <v>33</v>
      </c>
      <c r="G48" s="197" t="s">
        <v>34</v>
      </c>
      <c r="H48" s="197" t="s">
        <v>35</v>
      </c>
      <c r="I48" s="197" t="s">
        <v>36</v>
      </c>
      <c r="J48" s="197" t="s">
        <v>37</v>
      </c>
      <c r="K48" s="197" t="s">
        <v>38</v>
      </c>
      <c r="L48" s="197" t="s">
        <v>39</v>
      </c>
      <c r="M48" s="197" t="s">
        <v>40</v>
      </c>
      <c r="N48" s="197" t="s">
        <v>41</v>
      </c>
      <c r="O48" s="197" t="s">
        <v>42</v>
      </c>
      <c r="P48" s="197" t="s">
        <v>43</v>
      </c>
      <c r="Q48" s="253" t="s">
        <v>218</v>
      </c>
      <c r="R48" s="222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</row>
    <row r="49" spans="2:33" x14ac:dyDescent="0.3">
      <c r="B49" s="1"/>
      <c r="C49" s="1"/>
      <c r="D49" s="59" t="s">
        <v>18</v>
      </c>
      <c r="E49" s="59">
        <v>4.2</v>
      </c>
      <c r="F49" s="59">
        <v>4.2</v>
      </c>
      <c r="G49" s="59">
        <v>4.2</v>
      </c>
      <c r="H49" s="59">
        <v>4.2</v>
      </c>
      <c r="I49" s="59">
        <v>4.3</v>
      </c>
      <c r="J49" s="59">
        <v>4.2</v>
      </c>
      <c r="K49" s="59">
        <v>4.2</v>
      </c>
      <c r="L49" s="59">
        <v>4.2</v>
      </c>
      <c r="M49" s="59">
        <v>4.2</v>
      </c>
      <c r="N49" s="59">
        <v>4.2</v>
      </c>
      <c r="O49" s="59"/>
      <c r="P49" s="59"/>
      <c r="Q49" s="257">
        <v>4.2</v>
      </c>
      <c r="R49" s="222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</row>
    <row r="50" spans="2:33" ht="15" thickBot="1" x14ac:dyDescent="0.35">
      <c r="B50" s="1"/>
      <c r="C50" s="1"/>
      <c r="D50" s="176" t="s">
        <v>22</v>
      </c>
      <c r="E50" s="176">
        <v>4.3</v>
      </c>
      <c r="F50" s="176">
        <v>4.3</v>
      </c>
      <c r="G50" s="176">
        <v>4.3</v>
      </c>
      <c r="H50" s="176">
        <v>4.3</v>
      </c>
      <c r="I50" s="176">
        <v>4.3</v>
      </c>
      <c r="J50" s="176">
        <v>4.3</v>
      </c>
      <c r="K50" s="176">
        <v>4.3</v>
      </c>
      <c r="L50" s="176">
        <v>4.3</v>
      </c>
      <c r="M50" s="176">
        <v>4.3</v>
      </c>
      <c r="N50" s="176">
        <v>4.3</v>
      </c>
      <c r="O50" s="176"/>
      <c r="P50" s="176"/>
      <c r="Q50" s="257">
        <v>4.3</v>
      </c>
      <c r="R50" s="222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</row>
    <row r="51" spans="2:33" x14ac:dyDescent="0.3"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252"/>
      <c r="R51" s="222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</row>
    <row r="52" spans="2:33" x14ac:dyDescent="0.3">
      <c r="B52" s="1"/>
      <c r="C52" s="1"/>
      <c r="D52" s="190" t="s">
        <v>410</v>
      </c>
      <c r="E52" s="197" t="s">
        <v>32</v>
      </c>
      <c r="F52" s="197" t="s">
        <v>33</v>
      </c>
      <c r="G52" s="197" t="s">
        <v>34</v>
      </c>
      <c r="H52" s="197" t="s">
        <v>35</v>
      </c>
      <c r="I52" s="197" t="s">
        <v>36</v>
      </c>
      <c r="J52" s="197" t="s">
        <v>37</v>
      </c>
      <c r="K52" s="197" t="s">
        <v>38</v>
      </c>
      <c r="L52" s="197" t="s">
        <v>39</v>
      </c>
      <c r="M52" s="197" t="s">
        <v>40</v>
      </c>
      <c r="N52" s="197" t="s">
        <v>41</v>
      </c>
      <c r="O52" s="197" t="s">
        <v>42</v>
      </c>
      <c r="P52" s="197" t="s">
        <v>43</v>
      </c>
      <c r="Q52" s="253" t="s">
        <v>218</v>
      </c>
      <c r="R52" s="222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</row>
    <row r="53" spans="2:33" x14ac:dyDescent="0.3">
      <c r="B53" s="1"/>
      <c r="C53" s="1"/>
      <c r="D53" s="59" t="s">
        <v>18</v>
      </c>
      <c r="E53" s="551">
        <v>0.113</v>
      </c>
      <c r="F53" s="551">
        <v>0.13</v>
      </c>
      <c r="G53" s="551">
        <v>0.14899999999999999</v>
      </c>
      <c r="H53" s="551">
        <v>0.128</v>
      </c>
      <c r="I53" s="551">
        <v>0.13500000000000001</v>
      </c>
      <c r="J53" s="551">
        <v>0.113</v>
      </c>
      <c r="K53" s="59">
        <v>10.49</v>
      </c>
      <c r="L53" s="59">
        <v>7.82</v>
      </c>
      <c r="M53" s="59">
        <v>11.33</v>
      </c>
      <c r="N53" s="59">
        <v>12.89</v>
      </c>
      <c r="O53" s="59">
        <v>11.67</v>
      </c>
      <c r="P53" s="59">
        <v>11.65</v>
      </c>
      <c r="Q53" s="550">
        <v>0.14000000000000001</v>
      </c>
      <c r="R53" s="222"/>
      <c r="S53" s="22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</row>
    <row r="54" spans="2:33" ht="15" thickBot="1" x14ac:dyDescent="0.35">
      <c r="B54" s="1"/>
      <c r="C54" s="1"/>
      <c r="D54" s="176" t="s">
        <v>22</v>
      </c>
      <c r="E54" s="549">
        <v>0.14499999999999999</v>
      </c>
      <c r="F54" s="549">
        <v>0.16900000000000001</v>
      </c>
      <c r="G54" s="549">
        <v>0.184</v>
      </c>
      <c r="H54" s="549">
        <v>0.17199999999999999</v>
      </c>
      <c r="I54" s="549">
        <v>0.16400000000000001</v>
      </c>
      <c r="J54" s="549">
        <v>0.15</v>
      </c>
      <c r="K54" s="176">
        <v>13.7</v>
      </c>
      <c r="L54" s="176">
        <v>11.23</v>
      </c>
      <c r="M54" s="176">
        <v>13.37</v>
      </c>
      <c r="N54" s="176">
        <v>15.4</v>
      </c>
      <c r="O54" s="176">
        <v>15.01</v>
      </c>
      <c r="P54" s="176">
        <v>15.8</v>
      </c>
      <c r="Q54" s="550">
        <v>0.18</v>
      </c>
      <c r="R54" s="222"/>
      <c r="S54" s="22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</row>
    <row r="55" spans="2:33" x14ac:dyDescent="0.3">
      <c r="B55" s="1"/>
      <c r="C55" s="67"/>
      <c r="D55" s="1"/>
      <c r="E55" s="1"/>
      <c r="F55" s="67"/>
      <c r="G55" s="1"/>
      <c r="H55" s="1"/>
      <c r="I55" s="1"/>
      <c r="J55" s="1"/>
      <c r="K55" s="1"/>
      <c r="L55" s="1"/>
      <c r="M55" s="1"/>
      <c r="N55" s="239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</row>
    <row r="56" spans="2:33" x14ac:dyDescent="0.3">
      <c r="B56" s="68" t="s">
        <v>31</v>
      </c>
      <c r="C56" s="2" t="s">
        <v>32</v>
      </c>
      <c r="D56" s="2" t="s">
        <v>33</v>
      </c>
      <c r="E56" s="2" t="s">
        <v>34</v>
      </c>
      <c r="F56" s="2" t="s">
        <v>35</v>
      </c>
      <c r="G56" s="2" t="s">
        <v>36</v>
      </c>
      <c r="H56" s="2" t="s">
        <v>37</v>
      </c>
      <c r="I56" s="2" t="s">
        <v>38</v>
      </c>
      <c r="J56" s="2" t="s">
        <v>39</v>
      </c>
      <c r="K56" s="2" t="s">
        <v>40</v>
      </c>
      <c r="L56" s="2" t="s">
        <v>41</v>
      </c>
      <c r="M56" s="2" t="s">
        <v>42</v>
      </c>
      <c r="N56" s="2" t="s">
        <v>43</v>
      </c>
      <c r="O56" s="2" t="s">
        <v>1</v>
      </c>
      <c r="P56" s="2" t="s">
        <v>215</v>
      </c>
      <c r="Q56" s="222" t="s">
        <v>218</v>
      </c>
      <c r="R56" s="222" t="s">
        <v>430</v>
      </c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</row>
    <row r="57" spans="2:33" x14ac:dyDescent="0.3">
      <c r="B57" s="3" t="s">
        <v>44</v>
      </c>
      <c r="C57" s="170">
        <v>4.0999999999999996</v>
      </c>
      <c r="D57" s="170">
        <v>4</v>
      </c>
      <c r="E57" s="170">
        <v>4.0999999999999996</v>
      </c>
      <c r="F57" s="170">
        <v>4.3</v>
      </c>
      <c r="G57" s="170">
        <v>4.3</v>
      </c>
      <c r="H57" s="557">
        <v>4.3</v>
      </c>
      <c r="I57" s="170">
        <v>4.0999999999999996</v>
      </c>
      <c r="J57" s="170">
        <v>4.0999999999999996</v>
      </c>
      <c r="K57" s="170">
        <v>4.2</v>
      </c>
      <c r="L57" s="170">
        <v>4.2</v>
      </c>
      <c r="M57" s="170">
        <v>4.3</v>
      </c>
      <c r="N57" s="170"/>
      <c r="O57" s="170">
        <v>4.2</v>
      </c>
      <c r="P57" s="170">
        <v>4.2</v>
      </c>
      <c r="Q57" s="222">
        <v>4.5</v>
      </c>
      <c r="R57" s="222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</row>
    <row r="58" spans="2:33" x14ac:dyDescent="0.3">
      <c r="B58" s="3" t="s">
        <v>45</v>
      </c>
      <c r="C58" s="170">
        <v>5.8</v>
      </c>
      <c r="D58" s="170">
        <v>5</v>
      </c>
      <c r="E58" s="170">
        <v>4.7</v>
      </c>
      <c r="F58" s="170">
        <v>5.3</v>
      </c>
      <c r="G58" s="170">
        <v>4.5</v>
      </c>
      <c r="H58" s="170">
        <v>4.8</v>
      </c>
      <c r="I58" s="170">
        <v>5.2</v>
      </c>
      <c r="J58" s="170">
        <v>5.7</v>
      </c>
      <c r="K58" s="170">
        <v>5.4</v>
      </c>
      <c r="L58" s="170">
        <v>6.9</v>
      </c>
      <c r="M58" s="170">
        <v>5.3</v>
      </c>
      <c r="N58" s="170"/>
      <c r="O58" s="170">
        <v>5.7</v>
      </c>
      <c r="P58" s="170">
        <v>6.1</v>
      </c>
      <c r="Q58" s="222">
        <v>6.5</v>
      </c>
      <c r="R58" s="222">
        <v>5.4</v>
      </c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</row>
    <row r="59" spans="2:33" x14ac:dyDescent="0.3">
      <c r="B59" s="3" t="s">
        <v>342</v>
      </c>
      <c r="C59" s="548">
        <v>2.9000000000000001E-2</v>
      </c>
      <c r="D59" s="548">
        <v>1.7999999999999999E-2</v>
      </c>
      <c r="E59" s="548">
        <v>1.7999999999999999E-2</v>
      </c>
      <c r="F59" s="538">
        <v>1.7999999999999999E-2</v>
      </c>
      <c r="G59" s="538">
        <v>2.1000000000000001E-2</v>
      </c>
      <c r="H59" s="538">
        <v>2.3E-2</v>
      </c>
      <c r="I59" s="538">
        <v>2.1999999999999999E-2</v>
      </c>
      <c r="J59" s="539">
        <v>2.5000000000000001E-2</v>
      </c>
      <c r="K59" s="538">
        <v>2.1000000000000001E-2</v>
      </c>
      <c r="L59" s="538">
        <v>0.03</v>
      </c>
      <c r="M59" s="538">
        <v>1.7999999999999999E-2</v>
      </c>
      <c r="N59" s="539"/>
      <c r="O59" s="540">
        <v>2.5999999999999999E-2</v>
      </c>
      <c r="P59" s="539">
        <v>3.0499999999999999E-2</v>
      </c>
      <c r="Q59" s="223">
        <v>1.4999999999999999E-2</v>
      </c>
      <c r="R59" s="222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</row>
    <row r="60" spans="2:33" x14ac:dyDescent="0.3">
      <c r="B60" s="192" t="s">
        <v>47</v>
      </c>
      <c r="C60" s="206"/>
      <c r="D60" s="206"/>
      <c r="E60" s="206">
        <v>0.79</v>
      </c>
      <c r="F60" s="206">
        <v>0.8</v>
      </c>
      <c r="G60" s="206">
        <v>0.8</v>
      </c>
      <c r="H60" s="206">
        <v>0.81</v>
      </c>
      <c r="I60" s="206">
        <v>0.81</v>
      </c>
      <c r="J60" s="207">
        <v>0.79</v>
      </c>
      <c r="K60" s="206">
        <v>0.78</v>
      </c>
      <c r="L60" s="207" t="s">
        <v>214</v>
      </c>
      <c r="M60" s="207"/>
      <c r="N60" s="207"/>
      <c r="O60" s="207"/>
      <c r="P60" s="207"/>
      <c r="Q60" s="223">
        <v>0.9</v>
      </c>
      <c r="R60" s="222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</row>
    <row r="61" spans="2:33" ht="15" thickBot="1" x14ac:dyDescent="0.35">
      <c r="B61" s="72" t="s">
        <v>256</v>
      </c>
      <c r="C61" s="213">
        <v>19.600000000000001</v>
      </c>
      <c r="D61" s="213">
        <v>19.2</v>
      </c>
      <c r="E61" s="213">
        <v>19.3</v>
      </c>
      <c r="F61" s="213">
        <v>19.5</v>
      </c>
      <c r="G61" s="214">
        <v>16.399999999999999</v>
      </c>
      <c r="H61" s="213">
        <v>17.5</v>
      </c>
      <c r="I61" s="213">
        <v>18.5</v>
      </c>
      <c r="J61" s="213">
        <v>18.600000000000001</v>
      </c>
      <c r="K61" s="213">
        <v>17.5</v>
      </c>
      <c r="L61" s="213">
        <v>19.7</v>
      </c>
      <c r="M61" s="213">
        <v>18.899999999999999</v>
      </c>
      <c r="N61" s="213"/>
      <c r="O61" s="328">
        <v>18.600000000000001</v>
      </c>
      <c r="P61" s="489">
        <v>19.899999999999999</v>
      </c>
      <c r="Q61" s="222">
        <v>21</v>
      </c>
      <c r="R61" s="222">
        <v>20.7</v>
      </c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</row>
    <row r="62" spans="2:33" x14ac:dyDescent="0.3">
      <c r="B62" s="73" t="s">
        <v>44</v>
      </c>
      <c r="C62" s="173">
        <v>4.0999999999999996</v>
      </c>
      <c r="D62" s="173">
        <v>3.9</v>
      </c>
      <c r="E62" s="173">
        <v>4</v>
      </c>
      <c r="F62" s="173">
        <v>4.3</v>
      </c>
      <c r="G62" s="173">
        <v>4.2</v>
      </c>
      <c r="H62" s="558">
        <v>4.3</v>
      </c>
      <c r="I62" s="173">
        <v>3.9</v>
      </c>
      <c r="J62" s="173">
        <v>4.0999999999999996</v>
      </c>
      <c r="K62" s="173">
        <v>4.2</v>
      </c>
      <c r="L62" s="173">
        <v>4.0999999999999996</v>
      </c>
      <c r="M62" s="173">
        <v>4</v>
      </c>
      <c r="N62" s="173"/>
      <c r="O62" s="173">
        <v>4.0999999999999996</v>
      </c>
      <c r="P62" s="173">
        <v>4.2</v>
      </c>
      <c r="Q62" s="222">
        <v>4.5</v>
      </c>
      <c r="R62" s="222"/>
      <c r="S62" s="1"/>
      <c r="T62" s="1"/>
      <c r="U62" s="1" t="s">
        <v>48</v>
      </c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</row>
    <row r="63" spans="2:33" x14ac:dyDescent="0.3">
      <c r="B63" s="3" t="s">
        <v>45</v>
      </c>
      <c r="C63" s="170">
        <v>5</v>
      </c>
      <c r="D63" s="170">
        <v>5</v>
      </c>
      <c r="E63" s="170">
        <v>5.2</v>
      </c>
      <c r="F63" s="170">
        <v>5.3</v>
      </c>
      <c r="G63" s="170">
        <v>5.2</v>
      </c>
      <c r="H63" s="170">
        <v>5.6</v>
      </c>
      <c r="I63" s="170">
        <v>6.5</v>
      </c>
      <c r="J63" s="170">
        <v>6</v>
      </c>
      <c r="K63" s="170">
        <v>5.6</v>
      </c>
      <c r="L63" s="170">
        <v>5.3</v>
      </c>
      <c r="M63" s="170">
        <v>5.9</v>
      </c>
      <c r="N63" s="170"/>
      <c r="O63" s="170">
        <v>5.9</v>
      </c>
      <c r="P63" s="170">
        <v>5.9</v>
      </c>
      <c r="Q63" s="222">
        <v>6.5</v>
      </c>
      <c r="R63" s="222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2:33" x14ac:dyDescent="0.3">
      <c r="B64" s="3" t="s">
        <v>342</v>
      </c>
      <c r="C64" s="547">
        <v>2.5000000000000001E-2</v>
      </c>
      <c r="D64" s="547">
        <v>1.7000000000000001E-2</v>
      </c>
      <c r="E64" s="547">
        <v>1.4E-2</v>
      </c>
      <c r="F64" s="540">
        <v>1.7000000000000001E-2</v>
      </c>
      <c r="G64" s="540">
        <v>1.9E-2</v>
      </c>
      <c r="H64" s="538">
        <v>0.02</v>
      </c>
      <c r="I64" s="539">
        <v>2.9000000000000001E-2</v>
      </c>
      <c r="J64" s="539">
        <v>2.0500000000000001E-2</v>
      </c>
      <c r="K64" s="539">
        <v>1.7000000000000001E-2</v>
      </c>
      <c r="L64" s="539">
        <v>1.7999999999999999E-2</v>
      </c>
      <c r="M64" s="539">
        <v>2.3E-2</v>
      </c>
      <c r="N64" s="539"/>
      <c r="O64" s="540">
        <v>2.3E-2</v>
      </c>
      <c r="P64" s="539">
        <v>2.6100000000000002E-2</v>
      </c>
      <c r="Q64" s="223">
        <v>1.4999999999999999E-2</v>
      </c>
      <c r="R64" s="222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2:33" x14ac:dyDescent="0.3">
      <c r="B65" s="3" t="s">
        <v>47</v>
      </c>
      <c r="C65" s="171"/>
      <c r="D65" s="171"/>
      <c r="E65" s="171">
        <v>0.73</v>
      </c>
      <c r="F65" s="171">
        <v>0.73</v>
      </c>
      <c r="G65" s="171">
        <v>0.75</v>
      </c>
      <c r="H65" s="172">
        <v>0.77</v>
      </c>
      <c r="I65" s="171">
        <v>0.78</v>
      </c>
      <c r="J65" s="171">
        <v>0.75</v>
      </c>
      <c r="K65" s="171">
        <v>0.77</v>
      </c>
      <c r="L65" s="171">
        <v>0.76</v>
      </c>
      <c r="M65" s="171"/>
      <c r="N65" s="171"/>
      <c r="O65" s="171"/>
      <c r="P65" s="171"/>
      <c r="Q65" s="223">
        <v>0.9</v>
      </c>
      <c r="R65" s="222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2:33" ht="15" thickBot="1" x14ac:dyDescent="0.35">
      <c r="B66" s="72" t="s">
        <v>256</v>
      </c>
      <c r="C66" s="216">
        <v>17.8</v>
      </c>
      <c r="D66" s="216">
        <v>18.7</v>
      </c>
      <c r="E66" s="216">
        <v>19.3</v>
      </c>
      <c r="F66" s="216">
        <v>19</v>
      </c>
      <c r="G66" s="216">
        <v>17.399999999999999</v>
      </c>
      <c r="H66" s="216">
        <v>19.2</v>
      </c>
      <c r="I66" s="216">
        <v>21.2</v>
      </c>
      <c r="J66" s="216">
        <v>19.100000000000001</v>
      </c>
      <c r="K66" s="216">
        <v>17.5</v>
      </c>
      <c r="L66" s="216">
        <v>19.8</v>
      </c>
      <c r="M66" s="216">
        <v>20.399999999999999</v>
      </c>
      <c r="N66" s="216"/>
      <c r="O66" s="216">
        <v>19</v>
      </c>
      <c r="P66" s="216">
        <v>19.600000000000001</v>
      </c>
      <c r="Q66" s="222">
        <v>21</v>
      </c>
      <c r="R66" s="222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2:33" x14ac:dyDescent="0.3">
      <c r="B67" s="69"/>
      <c r="C67" s="70"/>
      <c r="D67" s="70"/>
      <c r="E67" s="70"/>
      <c r="F67" s="70"/>
      <c r="G67" s="70"/>
      <c r="H67" s="70"/>
      <c r="I67" s="70"/>
      <c r="J67" s="70"/>
      <c r="K67" s="70"/>
      <c r="L67" s="70"/>
      <c r="M67" s="70"/>
      <c r="N67" s="70"/>
      <c r="O67" s="70"/>
      <c r="P67" s="1"/>
      <c r="Q67" s="1"/>
      <c r="R67" s="1"/>
      <c r="S67" s="542"/>
      <c r="T67" s="542"/>
      <c r="U67" s="1"/>
      <c r="V67" s="1"/>
      <c r="W67" s="1"/>
      <c r="X67" s="1"/>
      <c r="Y67" s="1"/>
      <c r="Z67" s="1" t="s">
        <v>214</v>
      </c>
      <c r="AA67" s="1"/>
      <c r="AB67" s="1"/>
      <c r="AC67" s="1"/>
      <c r="AD67" s="1"/>
      <c r="AE67" s="1"/>
      <c r="AF67" s="1"/>
      <c r="AG67" s="1"/>
    </row>
    <row r="68" spans="2:33" ht="21" x14ac:dyDescent="0.4">
      <c r="B68" s="543" t="s">
        <v>49</v>
      </c>
      <c r="C68" s="543"/>
      <c r="D68" s="543"/>
      <c r="E68" s="543"/>
      <c r="F68" s="543"/>
      <c r="G68" s="543"/>
      <c r="H68" s="543"/>
      <c r="I68" s="543"/>
      <c r="J68" s="543"/>
      <c r="K68" s="543"/>
      <c r="L68" s="543"/>
      <c r="M68" s="543"/>
      <c r="N68" s="543"/>
      <c r="O68" s="543"/>
      <c r="P68" s="543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  <row r="69" spans="2:33" x14ac:dyDescent="0.3">
      <c r="B69" s="68" t="s">
        <v>18</v>
      </c>
      <c r="C69" s="2" t="s">
        <v>32</v>
      </c>
      <c r="D69" s="2" t="s">
        <v>33</v>
      </c>
      <c r="E69" s="2" t="s">
        <v>34</v>
      </c>
      <c r="F69" s="2" t="s">
        <v>35</v>
      </c>
      <c r="G69" s="2" t="s">
        <v>36</v>
      </c>
      <c r="H69" s="2" t="s">
        <v>37</v>
      </c>
      <c r="I69" s="2" t="s">
        <v>38</v>
      </c>
      <c r="J69" s="2" t="s">
        <v>39</v>
      </c>
      <c r="K69" s="2" t="s">
        <v>40</v>
      </c>
      <c r="L69" s="2" t="s">
        <v>41</v>
      </c>
      <c r="M69" s="2" t="s">
        <v>42</v>
      </c>
      <c r="N69" s="2" t="s">
        <v>43</v>
      </c>
      <c r="O69" s="2" t="s">
        <v>1</v>
      </c>
      <c r="P69" s="1" t="s">
        <v>215</v>
      </c>
      <c r="Q69" s="222" t="s">
        <v>218</v>
      </c>
      <c r="R69" s="1"/>
      <c r="S69" s="1"/>
      <c r="T69" s="1"/>
      <c r="U69" s="1"/>
      <c r="V69" s="1"/>
      <c r="W69" s="1"/>
      <c r="X69" s="1"/>
      <c r="Y69" s="1"/>
      <c r="Z69" s="1"/>
      <c r="AB69" s="1"/>
      <c r="AC69" s="1"/>
      <c r="AD69" s="1"/>
      <c r="AE69" s="1"/>
      <c r="AF69" s="1"/>
      <c r="AG69" s="1"/>
    </row>
    <row r="70" spans="2:33" x14ac:dyDescent="0.3">
      <c r="B70" s="3" t="s">
        <v>50</v>
      </c>
      <c r="C70" s="168">
        <v>288945</v>
      </c>
      <c r="D70" s="168">
        <v>254163</v>
      </c>
      <c r="E70" s="168">
        <v>280532</v>
      </c>
      <c r="F70" s="168">
        <v>247258</v>
      </c>
      <c r="G70" s="168">
        <v>251597</v>
      </c>
      <c r="H70" s="168">
        <v>252397</v>
      </c>
      <c r="I70" s="168">
        <v>268928</v>
      </c>
      <c r="J70" s="168">
        <v>286413</v>
      </c>
      <c r="K70" s="168">
        <v>246748</v>
      </c>
      <c r="L70" s="168">
        <v>236241</v>
      </c>
      <c r="M70" s="168">
        <v>236196</v>
      </c>
      <c r="N70" s="168">
        <v>82979</v>
      </c>
      <c r="O70" s="212">
        <f>SUM(C70:N70)</f>
        <v>2932397</v>
      </c>
      <c r="P70" s="241">
        <v>3244120</v>
      </c>
      <c r="Q70" s="254">
        <f>P70*(1+Q106)</f>
        <v>3568532.0000000005</v>
      </c>
      <c r="R70" s="1"/>
      <c r="S70" s="1"/>
      <c r="T70" s="1"/>
      <c r="U70" s="1"/>
      <c r="V70" s="1"/>
      <c r="W70" s="1"/>
      <c r="X70" s="1"/>
      <c r="Y70" s="1"/>
      <c r="Z70" s="1"/>
      <c r="AB70" s="1"/>
      <c r="AC70" s="1"/>
      <c r="AD70" s="1"/>
      <c r="AE70" s="1"/>
      <c r="AF70" s="1"/>
      <c r="AG70" s="1"/>
    </row>
    <row r="71" spans="2:33" x14ac:dyDescent="0.3">
      <c r="B71" s="3" t="s">
        <v>20</v>
      </c>
      <c r="C71" s="168">
        <v>172283</v>
      </c>
      <c r="D71" s="168">
        <v>128204</v>
      </c>
      <c r="E71" s="168">
        <v>157457</v>
      </c>
      <c r="F71" s="168">
        <v>121125</v>
      </c>
      <c r="G71" s="168">
        <v>131076</v>
      </c>
      <c r="H71" s="168">
        <v>128943</v>
      </c>
      <c r="I71" s="168">
        <v>126406</v>
      </c>
      <c r="J71" s="168">
        <v>124607</v>
      </c>
      <c r="K71" s="168">
        <v>127604</v>
      </c>
      <c r="L71" s="168">
        <v>122774</v>
      </c>
      <c r="M71" s="168">
        <v>129060</v>
      </c>
      <c r="N71" s="168">
        <v>45288</v>
      </c>
      <c r="O71" s="212">
        <f>SUM(C71:N71)</f>
        <v>1514827</v>
      </c>
      <c r="P71" s="241">
        <v>1765626</v>
      </c>
      <c r="Q71" s="254">
        <f>P71*(1+Q107)</f>
        <v>1818594.78</v>
      </c>
      <c r="R71" s="1"/>
      <c r="S71" s="1"/>
      <c r="T71" s="1"/>
      <c r="U71" s="1"/>
      <c r="V71" s="1"/>
      <c r="W71" s="1"/>
      <c r="X71" s="1"/>
      <c r="Y71" s="1"/>
      <c r="Z71" s="1"/>
      <c r="AB71" s="1"/>
      <c r="AC71" s="1"/>
      <c r="AD71" s="1"/>
      <c r="AE71" s="1"/>
      <c r="AF71" s="1"/>
      <c r="AG71" s="1"/>
    </row>
    <row r="72" spans="2:33" x14ac:dyDescent="0.3">
      <c r="B72" s="3" t="s">
        <v>51</v>
      </c>
      <c r="C72" s="43">
        <f t="shared" ref="C72:O72" si="0">C71/C70</f>
        <v>0.59624842097977127</v>
      </c>
      <c r="D72" s="43">
        <f t="shared" si="0"/>
        <v>0.50441645715544747</v>
      </c>
      <c r="E72" s="43">
        <f t="shared" si="0"/>
        <v>0.56127999657793048</v>
      </c>
      <c r="F72" s="43">
        <f t="shared" si="0"/>
        <v>0.48987292625516665</v>
      </c>
      <c r="G72" s="43">
        <f>G71/G70</f>
        <v>0.52097600527828236</v>
      </c>
      <c r="H72" s="43">
        <f t="shared" si="0"/>
        <v>0.51087374255636953</v>
      </c>
      <c r="I72" s="43">
        <f t="shared" si="0"/>
        <v>0.47003658971918133</v>
      </c>
      <c r="J72" s="43">
        <f t="shared" si="0"/>
        <v>0.43506055940198246</v>
      </c>
      <c r="K72" s="43">
        <f t="shared" si="0"/>
        <v>0.51714299609318004</v>
      </c>
      <c r="L72" s="43">
        <f t="shared" si="0"/>
        <v>0.51969810490135071</v>
      </c>
      <c r="M72" s="43">
        <f t="shared" si="0"/>
        <v>0.54641060813900322</v>
      </c>
      <c r="N72" s="43">
        <f t="shared" si="0"/>
        <v>0.54577664228298728</v>
      </c>
      <c r="O72" s="210">
        <f t="shared" si="0"/>
        <v>0.51658319115726825</v>
      </c>
      <c r="P72" s="242">
        <f>P71/P70</f>
        <v>0.54425421994254219</v>
      </c>
      <c r="Q72" s="229">
        <f>Q71/Q70</f>
        <v>0.50961986049165309</v>
      </c>
      <c r="R72" s="1"/>
      <c r="S72" s="1"/>
      <c r="T72" s="1"/>
      <c r="U72" s="1"/>
      <c r="V72" s="1"/>
      <c r="W72" s="1"/>
      <c r="X72" s="1"/>
      <c r="Y72" s="1"/>
      <c r="Z72" s="1"/>
      <c r="AB72" s="1"/>
      <c r="AC72" s="1"/>
      <c r="AD72" s="1"/>
      <c r="AE72" s="1"/>
      <c r="AF72" s="1"/>
      <c r="AG72" s="1"/>
    </row>
    <row r="73" spans="2:33" x14ac:dyDescent="0.3">
      <c r="B73" s="3" t="s">
        <v>19</v>
      </c>
      <c r="C73" s="168">
        <f>C70-C71</f>
        <v>116662</v>
      </c>
      <c r="D73" s="168">
        <f>D70-D71</f>
        <v>125959</v>
      </c>
      <c r="E73" s="168">
        <f>E70-E71</f>
        <v>123075</v>
      </c>
      <c r="F73" s="168">
        <f>F70-F71</f>
        <v>126133</v>
      </c>
      <c r="G73" s="168">
        <f t="shared" ref="G73:N73" si="1">G70-G71</f>
        <v>120521</v>
      </c>
      <c r="H73" s="168">
        <f t="shared" si="1"/>
        <v>123454</v>
      </c>
      <c r="I73" s="168">
        <f t="shared" si="1"/>
        <v>142522</v>
      </c>
      <c r="J73" s="168">
        <f t="shared" si="1"/>
        <v>161806</v>
      </c>
      <c r="K73" s="168">
        <f t="shared" si="1"/>
        <v>119144</v>
      </c>
      <c r="L73" s="168">
        <f t="shared" si="1"/>
        <v>113467</v>
      </c>
      <c r="M73" s="168">
        <f t="shared" si="1"/>
        <v>107136</v>
      </c>
      <c r="N73" s="168">
        <f t="shared" si="1"/>
        <v>37691</v>
      </c>
      <c r="O73" s="212">
        <f>SUM(C73:N73)</f>
        <v>1417570</v>
      </c>
      <c r="P73" s="241">
        <f>P70-P71</f>
        <v>1478494</v>
      </c>
      <c r="Q73" s="254">
        <f>Q70-Q71-Q77</f>
        <v>1739796.3200000005</v>
      </c>
      <c r="R73" s="1"/>
      <c r="S73" s="1"/>
      <c r="T73" s="1"/>
      <c r="U73" s="1"/>
      <c r="V73" s="1"/>
      <c r="W73" s="1"/>
      <c r="X73" s="1"/>
      <c r="Y73" s="1"/>
      <c r="Z73" s="1"/>
      <c r="AB73" s="1"/>
      <c r="AC73" s="1"/>
      <c r="AD73" s="1"/>
      <c r="AE73" s="1" t="s">
        <v>214</v>
      </c>
      <c r="AF73" s="1"/>
      <c r="AG73" s="1"/>
    </row>
    <row r="74" spans="2:33" hidden="1" x14ac:dyDescent="0.3">
      <c r="B74" s="3" t="s">
        <v>52</v>
      </c>
      <c r="C74" s="43">
        <f t="shared" ref="C74:L74" si="2">C73/C$70</f>
        <v>0.40375157902022879</v>
      </c>
      <c r="D74" s="43">
        <f t="shared" si="2"/>
        <v>0.49558354284455253</v>
      </c>
      <c r="E74" s="43">
        <f t="shared" si="2"/>
        <v>0.43872000342206952</v>
      </c>
      <c r="F74" s="43">
        <f t="shared" si="2"/>
        <v>0.51012707374483335</v>
      </c>
      <c r="G74" s="43">
        <f t="shared" si="2"/>
        <v>0.47902399472171769</v>
      </c>
      <c r="H74" s="43">
        <f t="shared" si="2"/>
        <v>0.48912625744363047</v>
      </c>
      <c r="I74" s="43">
        <f t="shared" si="2"/>
        <v>0.52996341028081861</v>
      </c>
      <c r="J74" s="43">
        <f t="shared" si="2"/>
        <v>0.56493944059801759</v>
      </c>
      <c r="K74" s="43">
        <f t="shared" si="2"/>
        <v>0.4828570039068199</v>
      </c>
      <c r="L74" s="43">
        <f t="shared" si="2"/>
        <v>0.48030189509864923</v>
      </c>
      <c r="M74" s="43">
        <f>M73/M$70</f>
        <v>0.45358939186099678</v>
      </c>
      <c r="N74" s="43">
        <f>N73/N$70</f>
        <v>0.45422335771701272</v>
      </c>
      <c r="O74" s="210">
        <f>O73/O$70</f>
        <v>0.48341680884273175</v>
      </c>
      <c r="P74" s="244"/>
      <c r="Q74" s="255"/>
      <c r="R74" s="1"/>
      <c r="S74" s="1"/>
      <c r="T74" s="1"/>
      <c r="U74" s="1"/>
      <c r="V74" s="1"/>
      <c r="W74" s="1"/>
      <c r="X74" s="1"/>
      <c r="Y74" s="1"/>
      <c r="Z74" s="1"/>
      <c r="AB74" s="1"/>
      <c r="AC74" s="1"/>
      <c r="AD74" s="1"/>
      <c r="AE74" s="1"/>
      <c r="AF74" s="1"/>
      <c r="AG74" s="1"/>
    </row>
    <row r="75" spans="2:33" hidden="1" x14ac:dyDescent="0.3">
      <c r="B75" s="3" t="s">
        <v>53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209">
        <f>+SUM(C74:N74)</f>
        <v>5.7822069506593472</v>
      </c>
      <c r="P75" s="241"/>
      <c r="Q75" s="256"/>
      <c r="R75" s="1"/>
      <c r="S75" s="1"/>
      <c r="T75" s="1"/>
      <c r="U75" s="1"/>
      <c r="V75" s="1"/>
      <c r="W75" s="1"/>
      <c r="X75" s="1"/>
      <c r="Y75" s="1"/>
      <c r="Z75" s="1"/>
      <c r="AB75" s="1"/>
      <c r="AC75" s="1"/>
      <c r="AD75" s="1"/>
      <c r="AE75" s="1"/>
      <c r="AF75" s="1"/>
      <c r="AG75" s="1"/>
    </row>
    <row r="76" spans="2:33" hidden="1" x14ac:dyDescent="0.3">
      <c r="B76" s="3" t="s">
        <v>54</v>
      </c>
      <c r="C76" s="43">
        <f t="shared" ref="C76:H76" si="3">C73/C70</f>
        <v>0.40375157902022879</v>
      </c>
      <c r="D76" s="43">
        <f t="shared" si="3"/>
        <v>0.49558354284455253</v>
      </c>
      <c r="E76" s="43">
        <f t="shared" si="3"/>
        <v>0.43872000342206952</v>
      </c>
      <c r="F76" s="43">
        <f t="shared" si="3"/>
        <v>0.51012707374483335</v>
      </c>
      <c r="G76" s="43">
        <f t="shared" si="3"/>
        <v>0.47902399472171769</v>
      </c>
      <c r="H76" s="43">
        <f t="shared" si="3"/>
        <v>0.48912625744363047</v>
      </c>
      <c r="I76" s="43"/>
      <c r="J76" s="43"/>
      <c r="K76" s="43"/>
      <c r="L76" s="43">
        <f>L73/L$70</f>
        <v>0.48030189509864923</v>
      </c>
      <c r="M76" s="43">
        <f>M73/M$70</f>
        <v>0.45358939186099678</v>
      </c>
      <c r="N76" s="43">
        <f>N73/N$70</f>
        <v>0.45422335771701272</v>
      </c>
      <c r="O76" s="210"/>
      <c r="P76" s="242">
        <f>P73/P70</f>
        <v>0.45574578005745781</v>
      </c>
      <c r="Q76" s="256"/>
      <c r="R76" s="1"/>
      <c r="S76" s="1"/>
      <c r="T76" s="1"/>
      <c r="U76" s="1"/>
      <c r="V76" s="1"/>
      <c r="W76" s="1"/>
      <c r="X76" s="1"/>
      <c r="Y76" s="1"/>
      <c r="Z76" s="1"/>
      <c r="AB76" s="1"/>
      <c r="AC76" s="1"/>
      <c r="AD76" s="1"/>
      <c r="AE76" s="1"/>
      <c r="AF76" s="1"/>
      <c r="AG76" s="1"/>
    </row>
    <row r="77" spans="2:33" x14ac:dyDescent="0.3">
      <c r="B77" s="3" t="s">
        <v>55</v>
      </c>
      <c r="C77" s="168">
        <v>1090</v>
      </c>
      <c r="D77" s="168">
        <v>631</v>
      </c>
      <c r="E77" s="168">
        <v>1021</v>
      </c>
      <c r="F77" s="168">
        <v>711</v>
      </c>
      <c r="G77" s="168">
        <v>976</v>
      </c>
      <c r="H77" s="168">
        <v>841</v>
      </c>
      <c r="I77" s="168">
        <v>970</v>
      </c>
      <c r="J77" s="168">
        <v>633</v>
      </c>
      <c r="K77" s="168">
        <v>751</v>
      </c>
      <c r="L77" s="168">
        <v>783</v>
      </c>
      <c r="M77" s="168">
        <v>661</v>
      </c>
      <c r="N77" s="168">
        <v>216</v>
      </c>
      <c r="O77" s="212">
        <f>SUM(C77:N77)</f>
        <v>9284</v>
      </c>
      <c r="P77" s="241">
        <v>9219</v>
      </c>
      <c r="Q77" s="254">
        <f>P77*1.1</f>
        <v>10140.900000000001</v>
      </c>
      <c r="R77" s="1"/>
      <c r="S77" s="1"/>
      <c r="T77" s="1"/>
      <c r="U77" s="1"/>
      <c r="V77" s="1"/>
      <c r="W77" s="1"/>
      <c r="X77" s="1"/>
      <c r="Y77" s="1"/>
      <c r="Z77" s="1"/>
      <c r="AB77" s="1"/>
      <c r="AC77" s="1"/>
      <c r="AD77" s="1"/>
      <c r="AE77" s="1"/>
      <c r="AF77" s="1"/>
      <c r="AG77" s="1"/>
    </row>
    <row r="78" spans="2:33" x14ac:dyDescent="0.3">
      <c r="B78" s="3" t="s">
        <v>56</v>
      </c>
      <c r="C78" s="71">
        <f t="shared" ref="C78:L78" si="4">C77/C$70</f>
        <v>3.7723442177577046E-3</v>
      </c>
      <c r="D78" s="71">
        <f t="shared" si="4"/>
        <v>2.482658766224824E-3</v>
      </c>
      <c r="E78" s="71">
        <f t="shared" si="4"/>
        <v>3.6395134957865768E-3</v>
      </c>
      <c r="F78" s="71">
        <f t="shared" si="4"/>
        <v>2.8755389107733621E-3</v>
      </c>
      <c r="G78" s="71">
        <f t="shared" si="4"/>
        <v>3.8792195455430709E-3</v>
      </c>
      <c r="H78" s="71">
        <f t="shared" si="4"/>
        <v>3.3320522827133443E-3</v>
      </c>
      <c r="I78" s="71">
        <f t="shared" si="4"/>
        <v>3.6069133745835315E-3</v>
      </c>
      <c r="J78" s="71">
        <f t="shared" si="4"/>
        <v>2.2100952121586661E-3</v>
      </c>
      <c r="K78" s="71">
        <f t="shared" si="4"/>
        <v>3.0435910321461573E-3</v>
      </c>
      <c r="L78" s="71">
        <f t="shared" si="4"/>
        <v>3.3144119775991468E-3</v>
      </c>
      <c r="M78" s="71">
        <f>M77/M$70</f>
        <v>2.798523260343105E-3</v>
      </c>
      <c r="N78" s="71">
        <f>N77/N$70</f>
        <v>2.6030682461827691E-3</v>
      </c>
      <c r="O78" s="211">
        <f>O77/O$70</f>
        <v>3.1660106049760657E-3</v>
      </c>
      <c r="P78" s="244">
        <f>P77/P$70</f>
        <v>2.8417567784175678E-3</v>
      </c>
      <c r="Q78" s="229">
        <f>Q77/Q70</f>
        <v>2.8417567784175678E-3</v>
      </c>
      <c r="R78" s="1"/>
      <c r="S78" s="1"/>
      <c r="T78" s="1"/>
      <c r="U78" s="1"/>
      <c r="V78" s="1"/>
      <c r="W78" s="1"/>
      <c r="X78" s="1"/>
      <c r="Y78" s="1"/>
      <c r="Z78" s="1"/>
      <c r="AB78" s="1"/>
      <c r="AC78" s="1"/>
      <c r="AD78" s="1"/>
      <c r="AE78" s="1"/>
      <c r="AF78" s="1"/>
      <c r="AG78" s="1"/>
    </row>
    <row r="79" spans="2:33" x14ac:dyDescent="0.3"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256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</row>
    <row r="80" spans="2:33" x14ac:dyDescent="0.3">
      <c r="B80" s="68" t="s">
        <v>22</v>
      </c>
      <c r="C80" s="2" t="s">
        <v>32</v>
      </c>
      <c r="D80" s="2" t="s">
        <v>33</v>
      </c>
      <c r="E80" s="2" t="s">
        <v>34</v>
      </c>
      <c r="F80" s="2" t="s">
        <v>35</v>
      </c>
      <c r="G80" s="2" t="s">
        <v>36</v>
      </c>
      <c r="H80" s="2" t="s">
        <v>37</v>
      </c>
      <c r="I80" s="2" t="s">
        <v>38</v>
      </c>
      <c r="J80" s="2" t="s">
        <v>39</v>
      </c>
      <c r="K80" s="2" t="s">
        <v>40</v>
      </c>
      <c r="L80" s="2" t="s">
        <v>41</v>
      </c>
      <c r="M80" s="2" t="s">
        <v>42</v>
      </c>
      <c r="N80" s="2" t="s">
        <v>43</v>
      </c>
      <c r="O80" s="2" t="s">
        <v>1</v>
      </c>
      <c r="P80" s="1" t="s">
        <v>215</v>
      </c>
      <c r="Q80" s="222" t="s">
        <v>218</v>
      </c>
      <c r="R80" s="1"/>
      <c r="S80" s="1"/>
      <c r="T80" s="1"/>
      <c r="U80" s="1"/>
      <c r="V80" s="1"/>
      <c r="W80" s="1"/>
      <c r="X80" s="1"/>
      <c r="Y80" s="1"/>
      <c r="Z80" s="1"/>
      <c r="AB80" s="1"/>
      <c r="AC80" s="1"/>
      <c r="AD80" s="1"/>
      <c r="AE80" s="1"/>
      <c r="AF80" s="1"/>
      <c r="AG80" s="1"/>
    </row>
    <row r="81" spans="1:33" x14ac:dyDescent="0.3">
      <c r="B81" s="193" t="s">
        <v>50</v>
      </c>
      <c r="C81" s="168">
        <v>157396</v>
      </c>
      <c r="D81" s="168">
        <v>143160</v>
      </c>
      <c r="E81" s="168">
        <v>153168</v>
      </c>
      <c r="F81" s="168">
        <v>142879</v>
      </c>
      <c r="G81" s="168">
        <v>161979</v>
      </c>
      <c r="H81" s="168">
        <v>159094</v>
      </c>
      <c r="I81" s="168">
        <v>165280</v>
      </c>
      <c r="J81" s="168">
        <v>168534</v>
      </c>
      <c r="K81" s="168">
        <v>155517</v>
      </c>
      <c r="L81" s="168">
        <v>161680</v>
      </c>
      <c r="M81" s="168">
        <v>162732</v>
      </c>
      <c r="N81" s="168">
        <v>57366</v>
      </c>
      <c r="O81" s="212">
        <f>SUM(C81:N81)</f>
        <v>1788785</v>
      </c>
      <c r="P81" s="241">
        <v>1812293</v>
      </c>
      <c r="Q81" s="254">
        <f>P81*(1+Q116)</f>
        <v>1993522.3</v>
      </c>
      <c r="R81" s="1"/>
      <c r="S81" s="1"/>
      <c r="T81" s="1"/>
      <c r="U81" s="1"/>
      <c r="V81" s="1"/>
      <c r="W81" s="1"/>
      <c r="X81" s="1"/>
      <c r="Y81" s="1"/>
      <c r="Z81" s="1"/>
      <c r="AB81" s="1"/>
      <c r="AC81" s="1"/>
      <c r="AD81" s="1"/>
      <c r="AE81" s="1"/>
      <c r="AF81" s="1"/>
      <c r="AG81" s="1"/>
    </row>
    <row r="82" spans="1:33" x14ac:dyDescent="0.3">
      <c r="B82" s="193" t="s">
        <v>20</v>
      </c>
      <c r="C82" s="168">
        <v>84519</v>
      </c>
      <c r="D82" s="168">
        <v>65465</v>
      </c>
      <c r="E82" s="168">
        <v>81486</v>
      </c>
      <c r="F82" s="168">
        <v>69722</v>
      </c>
      <c r="G82" s="168">
        <v>80996</v>
      </c>
      <c r="H82" s="168">
        <v>81485</v>
      </c>
      <c r="I82" s="168">
        <v>81004</v>
      </c>
      <c r="J82" s="168">
        <v>84656</v>
      </c>
      <c r="K82" s="168">
        <v>80057</v>
      </c>
      <c r="L82" s="168">
        <v>83675</v>
      </c>
      <c r="M82" s="168">
        <v>87136</v>
      </c>
      <c r="N82" s="168">
        <v>30942</v>
      </c>
      <c r="O82" s="212">
        <f>SUM(C82:N82)</f>
        <v>911143</v>
      </c>
      <c r="P82" s="241">
        <v>905089</v>
      </c>
      <c r="Q82" s="254">
        <f>P82*(1+Q117)</f>
        <v>941292.56</v>
      </c>
      <c r="R82" s="1"/>
      <c r="S82" s="1"/>
      <c r="T82" s="1"/>
      <c r="U82" s="1"/>
      <c r="V82" s="1"/>
      <c r="W82" s="1"/>
      <c r="X82" s="1"/>
      <c r="Y82" s="1"/>
      <c r="Z82" s="1"/>
      <c r="AB82" s="1"/>
      <c r="AC82" s="1"/>
      <c r="AD82" s="1"/>
      <c r="AE82" s="1"/>
      <c r="AF82" s="1"/>
      <c r="AG82" s="1"/>
    </row>
    <row r="83" spans="1:33" x14ac:dyDescent="0.3">
      <c r="B83" s="3" t="s">
        <v>51</v>
      </c>
      <c r="C83" s="43">
        <f t="shared" ref="C83:O83" si="5">C82/C81</f>
        <v>0.536983150778927</v>
      </c>
      <c r="D83" s="43">
        <f t="shared" si="5"/>
        <v>0.45728555462419668</v>
      </c>
      <c r="E83" s="43">
        <f>E82/E81</f>
        <v>0.53200407395800686</v>
      </c>
      <c r="F83" s="43">
        <f>F82/F81</f>
        <v>0.48797933916110836</v>
      </c>
      <c r="G83" s="43">
        <f t="shared" si="5"/>
        <v>0.50004012865865333</v>
      </c>
      <c r="H83" s="43">
        <f>H82/H81</f>
        <v>0.51218147761700628</v>
      </c>
      <c r="I83" s="43">
        <f t="shared" si="5"/>
        <v>0.49010164569215875</v>
      </c>
      <c r="J83" s="43">
        <f t="shared" si="5"/>
        <v>0.5023081396038781</v>
      </c>
      <c r="K83" s="43">
        <f>K82/K81</f>
        <v>0.51477973469138427</v>
      </c>
      <c r="L83" s="43">
        <f t="shared" si="5"/>
        <v>0.51753463631865415</v>
      </c>
      <c r="M83" s="43">
        <f t="shared" si="5"/>
        <v>0.53545707052085634</v>
      </c>
      <c r="N83" s="43">
        <f t="shared" si="5"/>
        <v>0.53937872607467841</v>
      </c>
      <c r="O83" s="210">
        <f t="shared" si="5"/>
        <v>0.50936417736061068</v>
      </c>
      <c r="P83" s="242">
        <f>P82/P81</f>
        <v>0.49941648508271014</v>
      </c>
      <c r="Q83" s="229">
        <f>Q82/Q81</f>
        <v>0.47217558589638053</v>
      </c>
      <c r="R83" s="1"/>
      <c r="S83" s="1"/>
      <c r="T83" s="1"/>
      <c r="U83" s="1"/>
      <c r="V83" s="1"/>
      <c r="W83" s="1"/>
      <c r="X83" s="1"/>
      <c r="Y83" s="1"/>
      <c r="Z83" s="1"/>
      <c r="AB83" s="1"/>
      <c r="AC83" s="1"/>
      <c r="AD83" s="1"/>
      <c r="AE83" s="1"/>
      <c r="AF83" s="1"/>
      <c r="AG83" s="1"/>
    </row>
    <row r="84" spans="1:33" x14ac:dyDescent="0.3">
      <c r="B84" s="193" t="s">
        <v>19</v>
      </c>
      <c r="C84" s="168">
        <f t="shared" ref="C84:I84" si="6">C81-C82</f>
        <v>72877</v>
      </c>
      <c r="D84" s="168">
        <f t="shared" si="6"/>
        <v>77695</v>
      </c>
      <c r="E84" s="168">
        <f t="shared" si="6"/>
        <v>71682</v>
      </c>
      <c r="F84" s="168">
        <f t="shared" si="6"/>
        <v>73157</v>
      </c>
      <c r="G84" s="168">
        <f t="shared" si="6"/>
        <v>80983</v>
      </c>
      <c r="H84" s="168">
        <f t="shared" si="6"/>
        <v>77609</v>
      </c>
      <c r="I84" s="168">
        <f t="shared" si="6"/>
        <v>84276</v>
      </c>
      <c r="J84" s="168">
        <f t="shared" ref="J84:N84" si="7">J81-J82</f>
        <v>83878</v>
      </c>
      <c r="K84" s="168">
        <f t="shared" si="7"/>
        <v>75460</v>
      </c>
      <c r="L84" s="168">
        <f t="shared" si="7"/>
        <v>78005</v>
      </c>
      <c r="M84" s="168">
        <f t="shared" si="7"/>
        <v>75596</v>
      </c>
      <c r="N84" s="168">
        <f t="shared" si="7"/>
        <v>26424</v>
      </c>
      <c r="O84" s="212">
        <f>SUM(C84:N84)</f>
        <v>877642</v>
      </c>
      <c r="P84" s="241">
        <f>P81-P82</f>
        <v>907204</v>
      </c>
      <c r="Q84" s="254">
        <f>Q81-Q82-Q88</f>
        <v>1041776.44</v>
      </c>
      <c r="R84" s="1"/>
      <c r="S84" s="1"/>
      <c r="T84" s="1"/>
      <c r="U84" s="1"/>
      <c r="V84" s="1"/>
      <c r="W84" s="1"/>
      <c r="X84" s="1"/>
      <c r="Y84" s="1"/>
      <c r="Z84" s="1"/>
      <c r="AB84" s="1"/>
      <c r="AC84" s="1"/>
      <c r="AD84" s="1"/>
      <c r="AE84" s="1"/>
      <c r="AF84" s="1"/>
      <c r="AG84" s="1"/>
    </row>
    <row r="85" spans="1:33" hidden="1" x14ac:dyDescent="0.3">
      <c r="B85" s="3" t="s">
        <v>52</v>
      </c>
      <c r="C85" s="43">
        <f t="shared" ref="C85:N85" si="8">C84/C$81</f>
        <v>0.46301684922107295</v>
      </c>
      <c r="D85" s="43">
        <f t="shared" si="8"/>
        <v>0.54271444537580327</v>
      </c>
      <c r="E85" s="43">
        <f t="shared" si="8"/>
        <v>0.46799592604199308</v>
      </c>
      <c r="F85" s="43">
        <f t="shared" si="8"/>
        <v>0.51202066083889164</v>
      </c>
      <c r="G85" s="43">
        <f t="shared" si="8"/>
        <v>0.49995987134134673</v>
      </c>
      <c r="H85" s="43">
        <f t="shared" si="8"/>
        <v>0.48781852238299372</v>
      </c>
      <c r="I85" s="43">
        <f t="shared" si="8"/>
        <v>0.50989835430784125</v>
      </c>
      <c r="J85" s="43">
        <f t="shared" si="8"/>
        <v>0.49769186039612184</v>
      </c>
      <c r="K85" s="43">
        <f t="shared" si="8"/>
        <v>0.48522026530861578</v>
      </c>
      <c r="L85" s="43">
        <f t="shared" si="8"/>
        <v>0.48246536368134585</v>
      </c>
      <c r="M85" s="43">
        <f t="shared" si="8"/>
        <v>0.46454292947914361</v>
      </c>
      <c r="N85" s="43">
        <f t="shared" si="8"/>
        <v>0.46062127392532159</v>
      </c>
      <c r="O85" s="210">
        <f>O84/O$81</f>
        <v>0.49063582263938932</v>
      </c>
      <c r="P85" s="242"/>
      <c r="Q85" s="256"/>
      <c r="AB85" s="1"/>
      <c r="AC85" s="1"/>
      <c r="AD85" s="1"/>
      <c r="AE85" s="1"/>
      <c r="AF85" s="1"/>
      <c r="AG85" s="1"/>
    </row>
    <row r="86" spans="1:33" hidden="1" x14ac:dyDescent="0.3">
      <c r="B86" s="193" t="s">
        <v>53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209">
        <f>+SUM(C85:N85)</f>
        <v>5.8739663223004905</v>
      </c>
      <c r="P86" s="243"/>
      <c r="Q86" s="256"/>
      <c r="AB86" s="1"/>
      <c r="AC86" s="1"/>
      <c r="AD86" s="1"/>
      <c r="AE86" s="1"/>
      <c r="AF86" s="1"/>
      <c r="AG86" s="1"/>
    </row>
    <row r="87" spans="1:33" hidden="1" x14ac:dyDescent="0.3">
      <c r="B87" s="3" t="s">
        <v>54</v>
      </c>
      <c r="C87" s="43">
        <f>C84/C81</f>
        <v>0.46301684922107295</v>
      </c>
      <c r="D87" s="43">
        <f t="shared" ref="D87:N87" si="9">D84/D81</f>
        <v>0.54271444537580327</v>
      </c>
      <c r="E87" s="43">
        <f>E84/E81</f>
        <v>0.46799592604199308</v>
      </c>
      <c r="F87" s="43">
        <f t="shared" si="9"/>
        <v>0.51202066083889164</v>
      </c>
      <c r="G87" s="43">
        <f t="shared" si="9"/>
        <v>0.49995987134134673</v>
      </c>
      <c r="H87" s="43">
        <f t="shared" si="9"/>
        <v>0.48781852238299372</v>
      </c>
      <c r="I87" s="43">
        <f t="shared" si="9"/>
        <v>0.50989835430784125</v>
      </c>
      <c r="J87" s="43">
        <f t="shared" si="9"/>
        <v>0.49769186039612184</v>
      </c>
      <c r="K87" s="43">
        <f t="shared" si="9"/>
        <v>0.48522026530861578</v>
      </c>
      <c r="L87" s="43">
        <f t="shared" si="9"/>
        <v>0.48246536368134585</v>
      </c>
      <c r="M87" s="43">
        <f t="shared" si="9"/>
        <v>0.46454292947914361</v>
      </c>
      <c r="N87" s="43">
        <f t="shared" si="9"/>
        <v>0.46062127392532159</v>
      </c>
      <c r="O87" s="43">
        <f>O84/O81</f>
        <v>0.49063582263938932</v>
      </c>
      <c r="P87" s="242">
        <f>P84/P81</f>
        <v>0.50058351491728992</v>
      </c>
      <c r="Q87" s="256"/>
      <c r="AB87" s="1"/>
      <c r="AC87" s="1"/>
      <c r="AD87" s="1"/>
      <c r="AE87" s="1"/>
      <c r="AF87" s="1"/>
      <c r="AG87" s="1"/>
    </row>
    <row r="88" spans="1:33" x14ac:dyDescent="0.3">
      <c r="B88" s="193" t="s">
        <v>55</v>
      </c>
      <c r="C88" s="168">
        <v>1048</v>
      </c>
      <c r="D88" s="168">
        <v>458</v>
      </c>
      <c r="E88" s="168">
        <v>640</v>
      </c>
      <c r="F88" s="168">
        <v>834</v>
      </c>
      <c r="G88" s="168">
        <v>1043</v>
      </c>
      <c r="H88" s="168">
        <v>790</v>
      </c>
      <c r="I88" s="168">
        <v>803</v>
      </c>
      <c r="J88" s="168">
        <v>999</v>
      </c>
      <c r="K88" s="168">
        <v>913</v>
      </c>
      <c r="L88" s="168">
        <v>597</v>
      </c>
      <c r="M88" s="168">
        <v>563</v>
      </c>
      <c r="N88" s="168">
        <v>412</v>
      </c>
      <c r="O88" s="212">
        <f>SUM(C88:N88)</f>
        <v>9100</v>
      </c>
      <c r="P88" s="243">
        <v>9503</v>
      </c>
      <c r="Q88" s="254">
        <f>P88*1.1</f>
        <v>10453.300000000001</v>
      </c>
      <c r="AB88" s="1"/>
      <c r="AC88" s="1"/>
      <c r="AD88" s="1"/>
      <c r="AE88" s="1"/>
      <c r="AF88" s="1"/>
      <c r="AG88" s="1"/>
    </row>
    <row r="89" spans="1:33" x14ac:dyDescent="0.3">
      <c r="A89" s="1"/>
      <c r="B89" s="3" t="s">
        <v>56</v>
      </c>
      <c r="C89" s="71">
        <f t="shared" ref="C89:L89" si="10">C88/C$81</f>
        <v>6.6583648885613356E-3</v>
      </c>
      <c r="D89" s="71">
        <f t="shared" si="10"/>
        <v>3.1992176585638448E-3</v>
      </c>
      <c r="E89" s="71">
        <f t="shared" si="10"/>
        <v>4.1784184686096308E-3</v>
      </c>
      <c r="F89" s="71">
        <f t="shared" si="10"/>
        <v>5.837106922640836E-3</v>
      </c>
      <c r="G89" s="71">
        <f t="shared" si="10"/>
        <v>6.4391063039035924E-3</v>
      </c>
      <c r="H89" s="71">
        <f t="shared" si="10"/>
        <v>4.9656178108539607E-3</v>
      </c>
      <c r="I89" s="71">
        <f t="shared" si="10"/>
        <v>4.8584220716360116E-3</v>
      </c>
      <c r="J89" s="71">
        <f t="shared" si="10"/>
        <v>5.9275873117590515E-3</v>
      </c>
      <c r="K89" s="71">
        <f t="shared" si="10"/>
        <v>5.8707408193316487E-3</v>
      </c>
      <c r="L89" s="71">
        <f t="shared" si="10"/>
        <v>3.6924789708065314E-3</v>
      </c>
      <c r="M89" s="71">
        <f>M88/M$81</f>
        <v>3.4596760317577367E-3</v>
      </c>
      <c r="N89" s="71">
        <f>N88/N$81</f>
        <v>7.1819544678032284E-3</v>
      </c>
      <c r="O89" s="211">
        <f>O88/O$81</f>
        <v>5.087251961526958E-3</v>
      </c>
      <c r="P89" s="244">
        <f>P88/P$81</f>
        <v>5.2436333418492487E-3</v>
      </c>
      <c r="Q89" s="229">
        <f>Q88/Q81</f>
        <v>5.2436333418492487E-3</v>
      </c>
      <c r="AB89" s="1"/>
      <c r="AC89" s="1"/>
      <c r="AD89" s="1"/>
      <c r="AE89" s="1"/>
      <c r="AF89" s="1"/>
      <c r="AG89" s="1"/>
    </row>
    <row r="90" spans="1:33" x14ac:dyDescent="0.3">
      <c r="A90" s="1"/>
      <c r="B90" s="1"/>
      <c r="C90" s="1"/>
      <c r="D90" s="1"/>
      <c r="E90" s="1"/>
      <c r="F90" s="1"/>
      <c r="G90" s="1"/>
      <c r="H90" s="1"/>
      <c r="I90" s="1" t="s">
        <v>214</v>
      </c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</row>
    <row r="91" spans="1:33" x14ac:dyDescent="0.3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</row>
    <row r="92" spans="1:33" x14ac:dyDescent="0.3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</row>
    <row r="93" spans="1:33" x14ac:dyDescent="0.3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</row>
    <row r="94" spans="1:33" x14ac:dyDescent="0.3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</row>
    <row r="95" spans="1:33" x14ac:dyDescent="0.3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</row>
    <row r="96" spans="1:33" x14ac:dyDescent="0.3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</row>
    <row r="97" spans="1:33" x14ac:dyDescent="0.3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</row>
    <row r="98" spans="1:33" x14ac:dyDescent="0.3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</row>
    <row r="99" spans="1:33" x14ac:dyDescent="0.3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</row>
    <row r="100" spans="1:33" x14ac:dyDescent="0.3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</row>
    <row r="101" spans="1:33" x14ac:dyDescent="0.3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</row>
    <row r="102" spans="1:33" x14ac:dyDescent="0.3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</row>
    <row r="103" spans="1:33" x14ac:dyDescent="0.3"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</row>
    <row r="104" spans="1:33" ht="21" x14ac:dyDescent="0.4">
      <c r="B104" s="113" t="s">
        <v>254</v>
      </c>
      <c r="C104" s="113"/>
      <c r="D104" s="113"/>
      <c r="E104" s="113"/>
      <c r="F104" s="113"/>
      <c r="G104" s="113"/>
      <c r="H104" s="113"/>
      <c r="I104" s="113"/>
      <c r="J104" s="113"/>
      <c r="K104" s="113"/>
      <c r="L104" s="113"/>
      <c r="M104" s="113"/>
      <c r="N104" s="113"/>
      <c r="O104" s="113"/>
      <c r="P104" s="1"/>
      <c r="Q104" s="226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</row>
    <row r="105" spans="1:33" x14ac:dyDescent="0.3">
      <c r="B105" s="68" t="s">
        <v>31</v>
      </c>
      <c r="C105" s="2" t="s">
        <v>57</v>
      </c>
      <c r="D105" s="2" t="s">
        <v>58</v>
      </c>
      <c r="E105" s="2" t="s">
        <v>59</v>
      </c>
      <c r="F105" s="2" t="s">
        <v>2</v>
      </c>
      <c r="G105" s="2" t="s">
        <v>60</v>
      </c>
      <c r="H105" s="2" t="s">
        <v>61</v>
      </c>
      <c r="I105" s="2" t="s">
        <v>62</v>
      </c>
      <c r="J105" s="2" t="s">
        <v>63</v>
      </c>
      <c r="K105" s="2" t="s">
        <v>64</v>
      </c>
      <c r="L105" s="2" t="s">
        <v>65</v>
      </c>
      <c r="M105" s="2" t="s">
        <v>66</v>
      </c>
      <c r="N105" s="2" t="s">
        <v>67</v>
      </c>
      <c r="O105" s="2" t="s">
        <v>14</v>
      </c>
      <c r="P105" s="1" t="s">
        <v>215</v>
      </c>
      <c r="Q105" s="222" t="s">
        <v>218</v>
      </c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</row>
    <row r="106" spans="1:33" x14ac:dyDescent="0.3">
      <c r="B106" s="3" t="s">
        <v>407</v>
      </c>
      <c r="C106" s="37">
        <v>0.21340000000000001</v>
      </c>
      <c r="D106" s="37">
        <v>0.2094</v>
      </c>
      <c r="E106" s="37">
        <v>0.14349999999999999</v>
      </c>
      <c r="F106" s="37">
        <v>-8.2199999999999995E-2</v>
      </c>
      <c r="G106" s="37">
        <v>-0.113</v>
      </c>
      <c r="H106" s="37">
        <v>-8.6999999999999994E-2</v>
      </c>
      <c r="I106" s="37">
        <v>-0.13769999999999999</v>
      </c>
      <c r="J106" s="37">
        <v>-6.9699999999999998E-2</v>
      </c>
      <c r="K106" s="37">
        <v>-8.1699999999999995E-2</v>
      </c>
      <c r="L106" s="37">
        <v>-0.12509999999999999</v>
      </c>
      <c r="M106" s="37">
        <v>-0.1651</v>
      </c>
      <c r="N106" s="37">
        <v>-0.1236</v>
      </c>
      <c r="O106" s="37">
        <v>0.22359999999999999</v>
      </c>
      <c r="P106" s="245"/>
      <c r="Q106" s="223">
        <v>0.1</v>
      </c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</row>
    <row r="107" spans="1:33" x14ac:dyDescent="0.3">
      <c r="B107" s="3" t="s">
        <v>20</v>
      </c>
      <c r="C107" s="37">
        <v>0.32229999999999998</v>
      </c>
      <c r="D107" s="37">
        <v>0.35049999999999998</v>
      </c>
      <c r="E107" s="37">
        <v>0.18770000000000001</v>
      </c>
      <c r="F107" s="37">
        <v>-0.12280000000000001</v>
      </c>
      <c r="G107" s="37">
        <v>-0.16439999999999999</v>
      </c>
      <c r="H107" s="37">
        <v>-0.15590000000000001</v>
      </c>
      <c r="I107" s="37">
        <v>-0.1822</v>
      </c>
      <c r="J107" s="37">
        <v>-0.19359999999999999</v>
      </c>
      <c r="K107" s="37">
        <v>-0.1366</v>
      </c>
      <c r="L107" s="37">
        <v>-0.2074</v>
      </c>
      <c r="M107" s="37">
        <v>-0.21099999999999999</v>
      </c>
      <c r="N107" s="37">
        <v>-0.1668</v>
      </c>
      <c r="O107" s="37">
        <v>0.33350000000000002</v>
      </c>
      <c r="P107" s="245"/>
      <c r="Q107" s="223">
        <v>0.03</v>
      </c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</row>
    <row r="108" spans="1:33" ht="15" hidden="1" thickBot="1" x14ac:dyDescent="0.35">
      <c r="B108" s="72" t="s">
        <v>253</v>
      </c>
      <c r="C108" s="202"/>
      <c r="D108" s="202"/>
      <c r="E108" s="202"/>
      <c r="F108" s="202"/>
      <c r="G108" s="202"/>
      <c r="H108" s="202"/>
      <c r="I108" s="202"/>
      <c r="J108" s="202"/>
      <c r="K108" s="202"/>
      <c r="L108" s="202"/>
      <c r="M108" s="202"/>
      <c r="N108" s="202"/>
      <c r="O108" s="202"/>
      <c r="P108" s="246"/>
      <c r="Q108" s="223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</row>
    <row r="109" spans="1:33" x14ac:dyDescent="0.3">
      <c r="B109" s="73" t="s">
        <v>409</v>
      </c>
      <c r="C109" s="95">
        <v>8.1900000000000001E-2</v>
      </c>
      <c r="D109" s="95">
        <v>0.13789999999999999</v>
      </c>
      <c r="E109" s="95">
        <v>3.1300000000000001E-2</v>
      </c>
      <c r="F109" s="95">
        <v>5.9299999999999999E-2</v>
      </c>
      <c r="G109" s="95">
        <v>6.2899999999999998E-2</v>
      </c>
      <c r="H109" s="95">
        <v>7.6700000000000004E-2</v>
      </c>
      <c r="I109" s="95">
        <v>5.8400000000000001E-2</v>
      </c>
      <c r="J109" s="95">
        <v>8.6099999999999996E-2</v>
      </c>
      <c r="K109" s="95">
        <v>0.1032</v>
      </c>
      <c r="L109" s="95">
        <v>5.2699999999999997E-2</v>
      </c>
      <c r="M109" s="95">
        <v>-2.7900000000000001E-2</v>
      </c>
      <c r="N109" s="95">
        <v>3.3E-3</v>
      </c>
      <c r="O109" s="95">
        <v>0.1091</v>
      </c>
      <c r="P109" s="247"/>
      <c r="Q109" s="223">
        <v>0.06</v>
      </c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</row>
    <row r="110" spans="1:33" x14ac:dyDescent="0.3">
      <c r="B110" s="3" t="s">
        <v>20</v>
      </c>
      <c r="C110" s="37">
        <v>0.14860000000000001</v>
      </c>
      <c r="D110" s="37">
        <v>0.22639999999999999</v>
      </c>
      <c r="E110" s="37">
        <v>4.4699999999999997E-2</v>
      </c>
      <c r="F110" s="37">
        <v>0.1154</v>
      </c>
      <c r="G110" s="37">
        <v>6.2399999999999997E-2</v>
      </c>
      <c r="H110" s="37">
        <v>8.7999999999999995E-2</v>
      </c>
      <c r="I110" s="37">
        <v>0.111</v>
      </c>
      <c r="J110" s="37">
        <v>0.1123</v>
      </c>
      <c r="K110" s="37">
        <v>0.1835</v>
      </c>
      <c r="L110" s="37">
        <v>6.0999999999999999E-2</v>
      </c>
      <c r="M110" s="37">
        <v>-1.11E-2</v>
      </c>
      <c r="N110" s="37">
        <v>5.8400000000000001E-2</v>
      </c>
      <c r="O110" s="37">
        <v>0.1648</v>
      </c>
      <c r="P110" s="245"/>
      <c r="Q110" s="223">
        <v>0</v>
      </c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</row>
    <row r="111" spans="1:33" ht="15" hidden="1" thickBot="1" x14ac:dyDescent="0.35">
      <c r="B111" s="72" t="s">
        <v>411</v>
      </c>
      <c r="C111" s="202"/>
      <c r="D111" s="202"/>
      <c r="E111" s="202"/>
      <c r="F111" s="202"/>
      <c r="G111" s="202"/>
      <c r="H111" s="202"/>
      <c r="I111" s="202"/>
      <c r="J111" s="202"/>
      <c r="K111" s="202"/>
      <c r="L111" s="202"/>
      <c r="M111" s="202"/>
      <c r="N111" s="202"/>
      <c r="O111" s="202"/>
      <c r="P111" s="246"/>
      <c r="Q111" s="223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</row>
    <row r="112" spans="1:33" ht="15" hidden="1" thickBot="1" x14ac:dyDescent="0.35">
      <c r="B112" s="200" t="s">
        <v>206</v>
      </c>
      <c r="C112" s="203"/>
      <c r="D112" s="203"/>
      <c r="E112" s="203"/>
      <c r="F112" s="203"/>
      <c r="G112" s="203"/>
      <c r="H112" s="203"/>
      <c r="I112" s="203"/>
      <c r="J112" s="203"/>
      <c r="K112" s="203"/>
      <c r="L112" s="203"/>
      <c r="M112" s="203"/>
      <c r="N112" s="203"/>
      <c r="O112" s="203"/>
      <c r="P112" s="248"/>
      <c r="Q112" s="327">
        <v>45061</v>
      </c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</row>
    <row r="113" spans="2:33" x14ac:dyDescent="0.3"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226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</row>
    <row r="114" spans="2:33" ht="21" x14ac:dyDescent="0.4">
      <c r="B114" s="113" t="s">
        <v>255</v>
      </c>
      <c r="C114" s="113"/>
      <c r="D114" s="113"/>
      <c r="E114" s="113"/>
      <c r="F114" s="113"/>
      <c r="G114" s="113"/>
      <c r="H114" s="113"/>
      <c r="I114" s="113"/>
      <c r="J114" s="113"/>
      <c r="K114" s="113"/>
      <c r="L114" s="113"/>
      <c r="M114" s="113"/>
      <c r="N114" s="113"/>
      <c r="O114" s="113"/>
      <c r="P114" s="1"/>
      <c r="Q114" s="226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</row>
    <row r="115" spans="2:33" x14ac:dyDescent="0.3">
      <c r="B115" s="68" t="s">
        <v>31</v>
      </c>
      <c r="C115" s="2" t="s">
        <v>57</v>
      </c>
      <c r="D115" s="2" t="s">
        <v>58</v>
      </c>
      <c r="E115" s="2" t="s">
        <v>59</v>
      </c>
      <c r="F115" s="2" t="s">
        <v>2</v>
      </c>
      <c r="G115" s="2" t="s">
        <v>60</v>
      </c>
      <c r="H115" s="2" t="s">
        <v>61</v>
      </c>
      <c r="I115" s="2" t="s">
        <v>62</v>
      </c>
      <c r="J115" s="2" t="s">
        <v>63</v>
      </c>
      <c r="K115" s="2" t="s">
        <v>64</v>
      </c>
      <c r="L115" s="2" t="s">
        <v>65</v>
      </c>
      <c r="M115" s="2" t="s">
        <v>66</v>
      </c>
      <c r="N115" s="2" t="s">
        <v>67</v>
      </c>
      <c r="O115" s="2" t="s">
        <v>14</v>
      </c>
      <c r="P115" s="1" t="s">
        <v>215</v>
      </c>
      <c r="Q115" s="222" t="s">
        <v>218</v>
      </c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</row>
    <row r="116" spans="2:33" x14ac:dyDescent="0.3">
      <c r="B116" s="3" t="s">
        <v>408</v>
      </c>
      <c r="C116" s="37">
        <v>0.12709999999999999</v>
      </c>
      <c r="D116" s="37">
        <v>0.12659999999999999</v>
      </c>
      <c r="E116" s="37">
        <v>6.5699999999999995E-2</v>
      </c>
      <c r="F116" s="37">
        <v>-0.1341</v>
      </c>
      <c r="G116" s="37">
        <v>-0.12989999999999999</v>
      </c>
      <c r="H116" s="37">
        <v>9.3200000000000005E-2</v>
      </c>
      <c r="I116" s="37">
        <v>-0.11990000000000001</v>
      </c>
      <c r="J116" s="37">
        <v>-9.8199999999999996E-2</v>
      </c>
      <c r="K116" s="37">
        <v>-0.11509999999999999</v>
      </c>
      <c r="L116" s="37">
        <v>-0.1484</v>
      </c>
      <c r="M116" s="37">
        <v>-0.2089</v>
      </c>
      <c r="N116" s="37">
        <v>-0.2031</v>
      </c>
      <c r="O116" s="37">
        <v>0.13789999999999999</v>
      </c>
      <c r="P116" s="245"/>
      <c r="Q116" s="223">
        <v>0.1</v>
      </c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</row>
    <row r="117" spans="2:33" x14ac:dyDescent="0.3">
      <c r="B117" s="3" t="s">
        <v>20</v>
      </c>
      <c r="C117" s="37">
        <v>0.28410000000000002</v>
      </c>
      <c r="D117" s="37">
        <v>0.31709999999999999</v>
      </c>
      <c r="E117" s="37">
        <v>0.14180000000000001</v>
      </c>
      <c r="F117" s="37">
        <v>-0.1762</v>
      </c>
      <c r="G117" s="37">
        <v>-0.22439999999999999</v>
      </c>
      <c r="H117" s="37">
        <v>-0.19600000000000001</v>
      </c>
      <c r="I117" s="37">
        <v>-0.23499999999999999</v>
      </c>
      <c r="J117" s="37">
        <v>-0.24030000000000001</v>
      </c>
      <c r="K117" s="37">
        <v>-0.18090000000000001</v>
      </c>
      <c r="L117" s="37">
        <v>0.2477</v>
      </c>
      <c r="M117" s="37">
        <v>-0.26650000000000001</v>
      </c>
      <c r="N117" s="37">
        <v>-0.2505</v>
      </c>
      <c r="O117" s="37">
        <v>0.2984</v>
      </c>
      <c r="P117" s="245"/>
      <c r="Q117" s="223">
        <v>0.04</v>
      </c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</row>
    <row r="118" spans="2:33" ht="15" hidden="1" thickBot="1" x14ac:dyDescent="0.35">
      <c r="B118" s="72" t="s">
        <v>253</v>
      </c>
      <c r="C118" s="202"/>
      <c r="D118" s="202"/>
      <c r="E118" s="202"/>
      <c r="F118" s="202"/>
      <c r="G118" s="202"/>
      <c r="H118" s="202"/>
      <c r="I118" s="202"/>
      <c r="J118" s="202"/>
      <c r="K118" s="202"/>
      <c r="L118" s="202"/>
      <c r="M118" s="202"/>
      <c r="N118" s="202"/>
      <c r="O118" s="202"/>
      <c r="P118" s="246"/>
      <c r="Q118" s="222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</row>
    <row r="119" spans="2:33" x14ac:dyDescent="0.3">
      <c r="B119" s="73" t="s">
        <v>408</v>
      </c>
      <c r="C119" s="95">
        <v>1.11E-2</v>
      </c>
      <c r="D119" s="95">
        <v>5.8700000000000002E-2</v>
      </c>
      <c r="E119" s="326">
        <v>-5.0000000000000001E-4</v>
      </c>
      <c r="F119" s="95">
        <v>-1.3599999999999999E-2</v>
      </c>
      <c r="G119" s="95">
        <v>-7.6E-3</v>
      </c>
      <c r="H119" s="95">
        <v>4.0099999999999997E-2</v>
      </c>
      <c r="I119" s="95">
        <v>-4.8899999999999999E-2</v>
      </c>
      <c r="J119" s="95">
        <v>-1.04E-2</v>
      </c>
      <c r="K119" s="95">
        <v>2.3E-3</v>
      </c>
      <c r="L119" s="95">
        <v>-3.49E-2</v>
      </c>
      <c r="M119" s="95">
        <v>-0.13239999999999999</v>
      </c>
      <c r="N119" s="95">
        <v>-0.12740000000000001</v>
      </c>
      <c r="O119" s="95">
        <v>4.3299999999999998E-2</v>
      </c>
      <c r="P119" s="247"/>
      <c r="Q119" s="223">
        <v>0.1</v>
      </c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</row>
    <row r="120" spans="2:33" x14ac:dyDescent="0.3">
      <c r="B120" s="3" t="s">
        <v>20</v>
      </c>
      <c r="C120" s="37">
        <v>0.11269999999999999</v>
      </c>
      <c r="D120" s="37">
        <v>0.17749999999999999</v>
      </c>
      <c r="E120" s="37">
        <v>-1.72E-2</v>
      </c>
      <c r="F120" s="37">
        <v>5.6</v>
      </c>
      <c r="G120" s="37">
        <v>6.2399999999999997E-2</v>
      </c>
      <c r="H120" s="37">
        <v>6.0900000000000003E-2</v>
      </c>
      <c r="I120" s="37">
        <v>4.5699999999999998E-2</v>
      </c>
      <c r="J120" s="37">
        <v>8.1799999999999998E-2</v>
      </c>
      <c r="K120" s="37">
        <v>0.16259999999999999</v>
      </c>
      <c r="L120" s="37">
        <v>-2.7000000000000001E-3</v>
      </c>
      <c r="M120" s="37">
        <v>-9.06E-2</v>
      </c>
      <c r="N120" s="37">
        <v>-3.6600000000000001E-2</v>
      </c>
      <c r="O120" s="37">
        <v>0.13070000000000001</v>
      </c>
      <c r="P120" s="245"/>
      <c r="Q120" s="223">
        <v>0.04</v>
      </c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</row>
    <row r="121" spans="2:33" ht="15" hidden="1" thickBot="1" x14ac:dyDescent="0.35">
      <c r="B121" s="72" t="s">
        <v>207</v>
      </c>
      <c r="C121" s="202"/>
      <c r="D121" s="202"/>
      <c r="E121" s="202"/>
      <c r="F121" s="202"/>
      <c r="G121" s="202"/>
      <c r="H121" s="202"/>
      <c r="I121" s="202"/>
      <c r="J121" s="202"/>
      <c r="K121" s="202"/>
      <c r="L121" s="202"/>
      <c r="M121" s="202"/>
      <c r="N121" s="202"/>
      <c r="O121" s="202"/>
      <c r="P121" s="246"/>
      <c r="Q121" s="222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</row>
    <row r="122" spans="2:33" ht="15" hidden="1" thickBot="1" x14ac:dyDescent="0.35">
      <c r="B122" s="200" t="s">
        <v>206</v>
      </c>
      <c r="C122" s="203"/>
      <c r="D122" s="203"/>
      <c r="E122" s="203"/>
      <c r="F122" s="203"/>
      <c r="G122" s="203"/>
      <c r="H122" s="203"/>
      <c r="I122" s="203"/>
      <c r="J122" s="203"/>
      <c r="K122" s="203"/>
      <c r="L122" s="203"/>
      <c r="M122" s="203"/>
      <c r="N122" s="203"/>
      <c r="O122" s="203"/>
      <c r="P122" s="248"/>
      <c r="Q122" s="222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</row>
    <row r="123" spans="2:33" x14ac:dyDescent="0.3"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222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</row>
    <row r="124" spans="2:33" x14ac:dyDescent="0.3"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222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</row>
    <row r="125" spans="2:33" x14ac:dyDescent="0.3"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222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</row>
    <row r="126" spans="2:33" ht="15" thickBot="1" x14ac:dyDescent="0.35"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226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</row>
    <row r="127" spans="2:33" ht="15" thickBot="1" x14ac:dyDescent="0.35">
      <c r="B127" s="1"/>
      <c r="C127" s="68" t="s">
        <v>31</v>
      </c>
      <c r="D127" s="195" t="s">
        <v>57</v>
      </c>
      <c r="E127" s="25" t="s">
        <v>58</v>
      </c>
      <c r="F127" s="25" t="s">
        <v>59</v>
      </c>
      <c r="G127" s="25" t="s">
        <v>2</v>
      </c>
      <c r="H127" s="25" t="s">
        <v>60</v>
      </c>
      <c r="I127" s="25" t="s">
        <v>61</v>
      </c>
      <c r="J127" s="25" t="s">
        <v>62</v>
      </c>
      <c r="K127" s="25" t="s">
        <v>63</v>
      </c>
      <c r="L127" s="25" t="s">
        <v>64</v>
      </c>
      <c r="M127" s="25" t="s">
        <v>65</v>
      </c>
      <c r="N127" s="25" t="s">
        <v>66</v>
      </c>
      <c r="O127" s="25" t="s">
        <v>67</v>
      </c>
      <c r="P127" s="196" t="s">
        <v>14</v>
      </c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</row>
    <row r="128" spans="2:33" ht="15" thickBot="1" x14ac:dyDescent="0.35">
      <c r="B128" s="1"/>
      <c r="C128" s="260" t="s">
        <v>229</v>
      </c>
      <c r="D128" s="261" t="str">
        <f t="shared" ref="D128:O128" si="11">IF(O7&lt;$G6,"OK","NOK")</f>
        <v>NOK</v>
      </c>
      <c r="E128" s="261" t="str">
        <f t="shared" si="11"/>
        <v>NOK</v>
      </c>
      <c r="F128" s="261" t="str">
        <f t="shared" si="11"/>
        <v>NOK</v>
      </c>
      <c r="G128" s="261" t="str">
        <f t="shared" si="11"/>
        <v>NOK</v>
      </c>
      <c r="H128" s="261" t="str">
        <f t="shared" si="11"/>
        <v>NOK</v>
      </c>
      <c r="I128" s="261" t="str">
        <f t="shared" si="11"/>
        <v>NOK</v>
      </c>
      <c r="J128" s="261" t="str">
        <f t="shared" si="11"/>
        <v>NOK</v>
      </c>
      <c r="K128" s="261" t="str">
        <f t="shared" si="11"/>
        <v>NOK</v>
      </c>
      <c r="L128" s="261" t="str">
        <f t="shared" si="11"/>
        <v>NOK</v>
      </c>
      <c r="M128" s="261" t="str">
        <f t="shared" si="11"/>
        <v>NOK</v>
      </c>
      <c r="N128" s="261" t="str">
        <f t="shared" si="11"/>
        <v>NOK</v>
      </c>
      <c r="O128" s="261" t="str">
        <f t="shared" si="11"/>
        <v>OK</v>
      </c>
      <c r="P128" s="262">
        <f t="shared" ref="P128:P136" si="12">+COUNTIF(D127:O127,"OK")</f>
        <v>0</v>
      </c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</row>
    <row r="129" spans="2:33" ht="15" thickBot="1" x14ac:dyDescent="0.35">
      <c r="B129" s="1"/>
      <c r="C129" s="260" t="s">
        <v>222</v>
      </c>
      <c r="D129" s="261" t="str">
        <f t="shared" ref="D129:E129" si="13">IF(D27&gt;$R27,"OK","NOK")</f>
        <v>OK</v>
      </c>
      <c r="E129" s="261" t="str">
        <f t="shared" si="13"/>
        <v>OK</v>
      </c>
      <c r="F129" s="261" t="str">
        <f t="shared" ref="F129:O129" si="14">IF(F27&gt;$R27,"OK","NOK")</f>
        <v>OK</v>
      </c>
      <c r="G129" s="261" t="str">
        <f t="shared" si="14"/>
        <v>OK</v>
      </c>
      <c r="H129" s="261" t="str">
        <f t="shared" si="14"/>
        <v>OK</v>
      </c>
      <c r="I129" s="261" t="str">
        <f t="shared" si="14"/>
        <v>OK</v>
      </c>
      <c r="J129" s="261" t="str">
        <f t="shared" si="14"/>
        <v>OK</v>
      </c>
      <c r="K129" s="261" t="str">
        <f t="shared" si="14"/>
        <v>OK</v>
      </c>
      <c r="L129" s="261" t="str">
        <f t="shared" si="14"/>
        <v>OK</v>
      </c>
      <c r="M129" s="261" t="str">
        <f t="shared" si="14"/>
        <v>OK</v>
      </c>
      <c r="N129" s="261" t="str">
        <f t="shared" si="14"/>
        <v>OK</v>
      </c>
      <c r="O129" s="261" t="str">
        <f t="shared" si="14"/>
        <v>NOK</v>
      </c>
      <c r="P129" s="262">
        <f t="shared" si="12"/>
        <v>1</v>
      </c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</row>
    <row r="130" spans="2:33" ht="15" thickBot="1" x14ac:dyDescent="0.35">
      <c r="B130" s="1"/>
      <c r="C130" s="260" t="s">
        <v>230</v>
      </c>
      <c r="D130" s="261" t="str">
        <f t="shared" ref="D130:E130" si="15">IF(E38&lt;$Q38,"OK","NOK")</f>
        <v>OK</v>
      </c>
      <c r="E130" s="261" t="str">
        <f t="shared" si="15"/>
        <v>OK</v>
      </c>
      <c r="F130" s="261" t="str">
        <f t="shared" ref="F130" si="16">IF(G38&lt;$Q38,"OK","NOK")</f>
        <v>OK</v>
      </c>
      <c r="G130" s="261" t="str">
        <f t="shared" ref="G130" si="17">IF(H38&lt;$Q38,"OK","NOK")</f>
        <v>OK</v>
      </c>
      <c r="H130" s="261" t="str">
        <f t="shared" ref="H130" si="18">IF(I38&lt;$Q38,"OK","NOK")</f>
        <v>OK</v>
      </c>
      <c r="I130" s="261" t="str">
        <f t="shared" ref="I130" si="19">IF(J38&lt;$Q38,"OK","NOK")</f>
        <v>OK</v>
      </c>
      <c r="J130" s="261" t="str">
        <f t="shared" ref="J130" si="20">IF(K38&lt;$Q38,"OK","NOK")</f>
        <v>OK</v>
      </c>
      <c r="K130" s="261" t="str">
        <f t="shared" ref="K130" si="21">IF(L38&lt;$Q38,"OK","NOK")</f>
        <v>OK</v>
      </c>
      <c r="L130" s="261" t="str">
        <f t="shared" ref="L130" si="22">IF(M38&lt;$Q38,"OK","NOK")</f>
        <v>OK</v>
      </c>
      <c r="M130" s="261" t="str">
        <f t="shared" ref="M130" si="23">IF(N38&lt;$Q38,"OK","NOK")</f>
        <v>OK</v>
      </c>
      <c r="N130" s="261" t="str">
        <f t="shared" ref="N130" si="24">IF(O38&lt;$Q38,"OK","NOK")</f>
        <v>OK</v>
      </c>
      <c r="O130" s="261" t="str">
        <f t="shared" ref="O130" si="25">IF(P38&lt;$Q38,"OK","NOK")</f>
        <v>OK</v>
      </c>
      <c r="P130" s="262">
        <f t="shared" si="12"/>
        <v>11</v>
      </c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</row>
    <row r="131" spans="2:33" x14ac:dyDescent="0.3">
      <c r="B131" s="1"/>
      <c r="C131" s="562" t="s">
        <v>223</v>
      </c>
      <c r="D131" s="232" t="str">
        <f t="shared" ref="D131:E131" si="26">IF(E49&gt;=$Q49,"OK","NOK")</f>
        <v>OK</v>
      </c>
      <c r="E131" s="232" t="str">
        <f t="shared" si="26"/>
        <v>OK</v>
      </c>
      <c r="F131" s="232" t="str">
        <f t="shared" ref="F131" si="27">IF(G49&gt;=$Q49,"OK","NOK")</f>
        <v>OK</v>
      </c>
      <c r="G131" s="232" t="str">
        <f t="shared" ref="G131" si="28">IF(H49&gt;=$Q49,"OK","NOK")</f>
        <v>OK</v>
      </c>
      <c r="H131" s="232" t="str">
        <f t="shared" ref="H131" si="29">IF(I49&gt;=$Q49,"OK","NOK")</f>
        <v>OK</v>
      </c>
      <c r="I131" s="232" t="str">
        <f t="shared" ref="I131" si="30">IF(J49&gt;=$Q49,"OK","NOK")</f>
        <v>OK</v>
      </c>
      <c r="J131" s="232" t="str">
        <f t="shared" ref="J131" si="31">IF(K49&gt;=$Q49,"OK","NOK")</f>
        <v>OK</v>
      </c>
      <c r="K131" s="232" t="str">
        <f t="shared" ref="K131" si="32">IF(L49&gt;=$Q49,"OK","NOK")</f>
        <v>OK</v>
      </c>
      <c r="L131" s="232" t="str">
        <f t="shared" ref="L131" si="33">IF(M49&gt;=$Q49,"OK","NOK")</f>
        <v>OK</v>
      </c>
      <c r="M131" s="232" t="str">
        <f t="shared" ref="M131" si="34">IF(N49&gt;=$Q49,"OK","NOK")</f>
        <v>OK</v>
      </c>
      <c r="N131" s="232" t="str">
        <f t="shared" ref="N131" si="35">IF(O49&gt;=$Q49,"OK","NOK")</f>
        <v>NOK</v>
      </c>
      <c r="O131" s="232" t="str">
        <f t="shared" ref="O131" si="36">IF(P49&gt;=$Q49,"OK","NOK")</f>
        <v>NOK</v>
      </c>
      <c r="P131" s="563">
        <f t="shared" si="12"/>
        <v>12</v>
      </c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</row>
    <row r="132" spans="2:33" x14ac:dyDescent="0.3">
      <c r="B132" s="1"/>
      <c r="C132" s="564" t="s">
        <v>224</v>
      </c>
      <c r="D132" s="2" t="str">
        <f t="shared" ref="D132:E132" si="37">IF(E53&gt;=$Q53,"OK","NOK")</f>
        <v>NOK</v>
      </c>
      <c r="E132" s="2" t="str">
        <f t="shared" si="37"/>
        <v>NOK</v>
      </c>
      <c r="F132" s="2" t="str">
        <f t="shared" ref="F132" si="38">IF(G53&gt;=$Q53,"OK","NOK")</f>
        <v>OK</v>
      </c>
      <c r="G132" s="2" t="str">
        <f t="shared" ref="G132" si="39">IF(H53&gt;=$Q53,"OK","NOK")</f>
        <v>NOK</v>
      </c>
      <c r="H132" s="2" t="str">
        <f t="shared" ref="H132" si="40">IF(I53&gt;=$Q53,"OK","NOK")</f>
        <v>NOK</v>
      </c>
      <c r="I132" s="2" t="str">
        <f t="shared" ref="I132" si="41">IF(J53&gt;=$Q53,"OK","NOK")</f>
        <v>NOK</v>
      </c>
      <c r="J132" s="2" t="str">
        <f t="shared" ref="J132" si="42">IF(K53&gt;=$Q53,"OK","NOK")</f>
        <v>OK</v>
      </c>
      <c r="K132" s="2" t="str">
        <f t="shared" ref="K132" si="43">IF(L53&gt;=$Q53,"OK","NOK")</f>
        <v>OK</v>
      </c>
      <c r="L132" s="2" t="str">
        <f t="shared" ref="L132" si="44">IF(M53&gt;=$Q53,"OK","NOK")</f>
        <v>OK</v>
      </c>
      <c r="M132" s="2" t="str">
        <f t="shared" ref="M132" si="45">IF(N53&gt;=$Q53,"OK","NOK")</f>
        <v>OK</v>
      </c>
      <c r="N132" s="2" t="str">
        <f t="shared" ref="N132" si="46">IF(O53&gt;=$Q53,"OK","NOK")</f>
        <v>OK</v>
      </c>
      <c r="O132" s="2" t="str">
        <f t="shared" ref="O132" si="47">IF(P53&gt;=$Q53,"OK","NOK")</f>
        <v>OK</v>
      </c>
      <c r="P132" s="565">
        <f t="shared" si="12"/>
        <v>10</v>
      </c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</row>
    <row r="133" spans="2:33" x14ac:dyDescent="0.3">
      <c r="B133" s="1"/>
      <c r="C133" s="564" t="s">
        <v>225</v>
      </c>
      <c r="D133" s="2" t="str">
        <f t="shared" ref="D133:E133" si="48">IF(C58&lt;$Q58,"OK","NOK")</f>
        <v>OK</v>
      </c>
      <c r="E133" s="2" t="str">
        <f t="shared" si="48"/>
        <v>OK</v>
      </c>
      <c r="F133" s="2" t="str">
        <f t="shared" ref="F133" si="49">IF(E58&lt;$Q58,"OK","NOK")</f>
        <v>OK</v>
      </c>
      <c r="G133" s="2" t="str">
        <f t="shared" ref="G133" si="50">IF(F58&lt;$Q58,"OK","NOK")</f>
        <v>OK</v>
      </c>
      <c r="H133" s="2" t="str">
        <f t="shared" ref="H133" si="51">IF(G58&lt;$Q58,"OK","NOK")</f>
        <v>OK</v>
      </c>
      <c r="I133" s="2" t="str">
        <f t="shared" ref="I133" si="52">IF(H58&lt;$Q58,"OK","NOK")</f>
        <v>OK</v>
      </c>
      <c r="J133" s="2" t="str">
        <f t="shared" ref="J133" si="53">IF(I58&lt;$Q58,"OK","NOK")</f>
        <v>OK</v>
      </c>
      <c r="K133" s="2" t="str">
        <f t="shared" ref="K133" si="54">IF(J58&lt;$Q58,"OK","NOK")</f>
        <v>OK</v>
      </c>
      <c r="L133" s="2" t="str">
        <f t="shared" ref="L133" si="55">IF(K58&lt;$Q58,"OK","NOK")</f>
        <v>OK</v>
      </c>
      <c r="M133" s="2" t="str">
        <f t="shared" ref="M133" si="56">IF(L58&lt;$Q58,"OK","NOK")</f>
        <v>NOK</v>
      </c>
      <c r="N133" s="2" t="str">
        <f t="shared" ref="N133" si="57">IF(M58&lt;$Q58,"OK","NOK")</f>
        <v>OK</v>
      </c>
      <c r="O133" s="2" t="str">
        <f t="shared" ref="O133" si="58">IF(N58&lt;$Q58,"OK","NOK")</f>
        <v>OK</v>
      </c>
      <c r="P133" s="565">
        <f t="shared" si="12"/>
        <v>7</v>
      </c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</row>
    <row r="134" spans="2:33" x14ac:dyDescent="0.3">
      <c r="B134" s="1"/>
      <c r="C134" s="564" t="s">
        <v>226</v>
      </c>
      <c r="D134" s="2" t="str">
        <f t="shared" ref="D134:E134" si="59">IF(C61&lt;=$Q61,"OK","NOK")</f>
        <v>OK</v>
      </c>
      <c r="E134" s="2" t="str">
        <f t="shared" si="59"/>
        <v>OK</v>
      </c>
      <c r="F134" s="2" t="str">
        <f t="shared" ref="F134" si="60">IF(E61&lt;=$Q61,"OK","NOK")</f>
        <v>OK</v>
      </c>
      <c r="G134" s="2" t="str">
        <f t="shared" ref="G134" si="61">IF(F61&lt;=$Q61,"OK","NOK")</f>
        <v>OK</v>
      </c>
      <c r="H134" s="2" t="str">
        <f t="shared" ref="H134" si="62">IF(G61&lt;=$Q61,"OK","NOK")</f>
        <v>OK</v>
      </c>
      <c r="I134" s="2" t="str">
        <f t="shared" ref="I134" si="63">IF(H61&lt;=$Q61,"OK","NOK")</f>
        <v>OK</v>
      </c>
      <c r="J134" s="2" t="str">
        <f t="shared" ref="J134" si="64">IF(I61&lt;=$Q61,"OK","NOK")</f>
        <v>OK</v>
      </c>
      <c r="K134" s="2" t="str">
        <f t="shared" ref="K134" si="65">IF(J61&lt;=$Q61,"OK","NOK")</f>
        <v>OK</v>
      </c>
      <c r="L134" s="2" t="str">
        <f t="shared" ref="L134" si="66">IF(K61&lt;=$Q61,"OK","NOK")</f>
        <v>OK</v>
      </c>
      <c r="M134" s="2" t="str">
        <f t="shared" ref="M134" si="67">IF(L61&lt;=$Q61,"OK","NOK")</f>
        <v>OK</v>
      </c>
      <c r="N134" s="2" t="str">
        <f t="shared" ref="N134" si="68">IF(M61&lt;=$Q61,"OK","NOK")</f>
        <v>OK</v>
      </c>
      <c r="O134" s="2" t="str">
        <f t="shared" ref="O134" si="69">IF(N61&lt;=$Q61,"OK","NOK")</f>
        <v>OK</v>
      </c>
      <c r="P134" s="565">
        <f t="shared" si="12"/>
        <v>11</v>
      </c>
      <c r="Q134" s="1"/>
      <c r="R134" s="1"/>
      <c r="S134" s="1"/>
      <c r="T134" s="1"/>
      <c r="U134" s="1"/>
      <c r="V134" s="1"/>
      <c r="W134" s="541"/>
      <c r="X134" s="1"/>
      <c r="Y134" s="1"/>
      <c r="Z134" s="1"/>
      <c r="AA134" s="1"/>
      <c r="AB134" s="1"/>
      <c r="AC134" s="1"/>
      <c r="AD134" s="1"/>
      <c r="AE134" s="1"/>
      <c r="AF134" s="1"/>
      <c r="AG134" s="1"/>
    </row>
    <row r="135" spans="2:33" x14ac:dyDescent="0.3">
      <c r="B135" s="1"/>
      <c r="C135" s="564" t="s">
        <v>228</v>
      </c>
      <c r="D135" s="2" t="str">
        <f t="shared" ref="D135:E135" si="70">IF(C106&gt;$Q106,"OK","NOK")</f>
        <v>OK</v>
      </c>
      <c r="E135" s="2" t="str">
        <f t="shared" si="70"/>
        <v>OK</v>
      </c>
      <c r="F135" s="2" t="str">
        <f t="shared" ref="F135" si="71">IF(E106&gt;$Q106,"OK","NOK")</f>
        <v>OK</v>
      </c>
      <c r="G135" s="2" t="str">
        <f t="shared" ref="G135" si="72">IF(F106&gt;$Q106,"OK","NOK")</f>
        <v>NOK</v>
      </c>
      <c r="H135" s="2" t="str">
        <f t="shared" ref="H135" si="73">IF(G106&gt;$Q106,"OK","NOK")</f>
        <v>NOK</v>
      </c>
      <c r="I135" s="2" t="str">
        <f t="shared" ref="I135" si="74">IF(H106&gt;$Q106,"OK","NOK")</f>
        <v>NOK</v>
      </c>
      <c r="J135" s="2" t="str">
        <f t="shared" ref="J135" si="75">IF(I106&gt;$Q106,"OK","NOK")</f>
        <v>NOK</v>
      </c>
      <c r="K135" s="2" t="str">
        <f t="shared" ref="K135" si="76">IF(J106&gt;$Q106,"OK","NOK")</f>
        <v>NOK</v>
      </c>
      <c r="L135" s="2" t="str">
        <f t="shared" ref="L135" si="77">IF(K106&gt;$Q106,"OK","NOK")</f>
        <v>NOK</v>
      </c>
      <c r="M135" s="2" t="str">
        <f t="shared" ref="M135" si="78">IF(L106&gt;$Q106,"OK","NOK")</f>
        <v>NOK</v>
      </c>
      <c r="N135" s="2" t="str">
        <f t="shared" ref="N135" si="79">IF(M106&gt;$Q106,"OK","NOK")</f>
        <v>NOK</v>
      </c>
      <c r="O135" s="2" t="str">
        <f t="shared" ref="O135" si="80">IF(N106&gt;$Q106,"OK","NOK")</f>
        <v>NOK</v>
      </c>
      <c r="P135" s="565">
        <f t="shared" si="12"/>
        <v>12</v>
      </c>
      <c r="Q135" s="1"/>
      <c r="R135" s="1"/>
      <c r="S135" s="1"/>
      <c r="T135" s="1"/>
      <c r="U135" s="1"/>
      <c r="V135" s="1"/>
      <c r="W135" s="541"/>
      <c r="X135" s="1"/>
      <c r="Y135" s="1"/>
      <c r="Z135" s="1"/>
      <c r="AA135" s="1"/>
      <c r="AB135" s="1"/>
      <c r="AC135" s="1"/>
      <c r="AD135" s="1"/>
      <c r="AE135" s="1"/>
      <c r="AF135" s="1"/>
      <c r="AG135" s="1"/>
    </row>
    <row r="136" spans="2:33" ht="15" thickBot="1" x14ac:dyDescent="0.35">
      <c r="B136" s="1"/>
      <c r="C136" s="566" t="s">
        <v>227</v>
      </c>
      <c r="D136" s="2" t="str">
        <f t="shared" ref="D136:E136" si="81">IF(C116&gt;$Q116,"OK","NOK")</f>
        <v>OK</v>
      </c>
      <c r="E136" s="2" t="str">
        <f t="shared" si="81"/>
        <v>OK</v>
      </c>
      <c r="F136" s="2" t="str">
        <f t="shared" ref="F136" si="82">IF(E116&gt;$Q116,"OK","NOK")</f>
        <v>NOK</v>
      </c>
      <c r="G136" s="2" t="str">
        <f t="shared" ref="G136" si="83">IF(F116&gt;$Q116,"OK","NOK")</f>
        <v>NOK</v>
      </c>
      <c r="H136" s="2" t="str">
        <f t="shared" ref="H136" si="84">IF(G116&gt;$Q116,"OK","NOK")</f>
        <v>NOK</v>
      </c>
      <c r="I136" s="2" t="str">
        <f t="shared" ref="I136" si="85">IF(H116&gt;$Q116,"OK","NOK")</f>
        <v>NOK</v>
      </c>
      <c r="J136" s="2" t="str">
        <f t="shared" ref="J136" si="86">IF(I116&gt;$Q116,"OK","NOK")</f>
        <v>NOK</v>
      </c>
      <c r="K136" s="2" t="str">
        <f t="shared" ref="K136" si="87">IF(J116&gt;$Q116,"OK","NOK")</f>
        <v>NOK</v>
      </c>
      <c r="L136" s="2" t="str">
        <f t="shared" ref="L136" si="88">IF(K116&gt;$Q116,"OK","NOK")</f>
        <v>NOK</v>
      </c>
      <c r="M136" s="2" t="str">
        <f t="shared" ref="M136" si="89">IF(L116&gt;$Q116,"OK","NOK")</f>
        <v>NOK</v>
      </c>
      <c r="N136" s="2" t="str">
        <f t="shared" ref="N136" si="90">IF(M116&gt;$Q116,"OK","NOK")</f>
        <v>NOK</v>
      </c>
      <c r="O136" s="2" t="str">
        <f t="shared" ref="O136" si="91">IF(N116&gt;$Q116,"OK","NOK")</f>
        <v>NOK</v>
      </c>
      <c r="P136" s="565">
        <f t="shared" si="12"/>
        <v>3</v>
      </c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</row>
    <row r="137" spans="2:33" ht="15" thickBot="1" x14ac:dyDescent="0.35">
      <c r="B137" s="1"/>
      <c r="C137" s="230" t="s">
        <v>231</v>
      </c>
      <c r="D137" s="231">
        <f>COUNTIF(D128:D136,"OK")</f>
        <v>7</v>
      </c>
      <c r="E137" s="231">
        <f t="shared" ref="E137:O137" si="92">COUNTIF(E128:E136,"OK")</f>
        <v>7</v>
      </c>
      <c r="F137" s="231">
        <f t="shared" si="92"/>
        <v>7</v>
      </c>
      <c r="G137" s="231">
        <f t="shared" si="92"/>
        <v>5</v>
      </c>
      <c r="H137" s="231">
        <f t="shared" si="92"/>
        <v>5</v>
      </c>
      <c r="I137" s="231">
        <f t="shared" si="92"/>
        <v>5</v>
      </c>
      <c r="J137" s="231">
        <f t="shared" si="92"/>
        <v>6</v>
      </c>
      <c r="K137" s="231">
        <f t="shared" si="92"/>
        <v>6</v>
      </c>
      <c r="L137" s="231">
        <f t="shared" si="92"/>
        <v>6</v>
      </c>
      <c r="M137" s="231">
        <f t="shared" si="92"/>
        <v>5</v>
      </c>
      <c r="N137" s="231">
        <f t="shared" si="92"/>
        <v>5</v>
      </c>
      <c r="O137" s="231">
        <f t="shared" si="92"/>
        <v>5</v>
      </c>
      <c r="P137" s="567">
        <f>SUM(P128:P136)</f>
        <v>67</v>
      </c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</row>
    <row r="138" spans="2:33" ht="15" thickBot="1" x14ac:dyDescent="0.35">
      <c r="B138" s="1"/>
      <c r="C138" s="92" t="s">
        <v>232</v>
      </c>
      <c r="D138" s="259">
        <f>D137/9</f>
        <v>0.77777777777777779</v>
      </c>
      <c r="E138" s="259">
        <f t="shared" ref="E138:O138" si="93">E137/9</f>
        <v>0.77777777777777779</v>
      </c>
      <c r="F138" s="259">
        <f t="shared" si="93"/>
        <v>0.77777777777777779</v>
      </c>
      <c r="G138" s="259">
        <f t="shared" si="93"/>
        <v>0.55555555555555558</v>
      </c>
      <c r="H138" s="259">
        <f t="shared" si="93"/>
        <v>0.55555555555555558</v>
      </c>
      <c r="I138" s="259">
        <f t="shared" si="93"/>
        <v>0.55555555555555558</v>
      </c>
      <c r="J138" s="259">
        <f t="shared" si="93"/>
        <v>0.66666666666666663</v>
      </c>
      <c r="K138" s="259">
        <f t="shared" si="93"/>
        <v>0.66666666666666663</v>
      </c>
      <c r="L138" s="259">
        <f t="shared" si="93"/>
        <v>0.66666666666666663</v>
      </c>
      <c r="M138" s="259">
        <f t="shared" si="93"/>
        <v>0.55555555555555558</v>
      </c>
      <c r="N138" s="259">
        <f t="shared" si="93"/>
        <v>0.55555555555555558</v>
      </c>
      <c r="O138" s="259">
        <f t="shared" si="93"/>
        <v>0.55555555555555558</v>
      </c>
      <c r="P138" s="568">
        <f>P137/108</f>
        <v>0.62037037037037035</v>
      </c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</row>
    <row r="139" spans="2:33" x14ac:dyDescent="0.3">
      <c r="B139" s="1"/>
      <c r="C139" s="263" t="s">
        <v>229</v>
      </c>
      <c r="D139" s="264" t="str">
        <f t="shared" ref="D139:O139" si="94">IF(O8&lt;$G11,"OK","NOK")</f>
        <v>OK</v>
      </c>
      <c r="E139" s="264" t="str">
        <f t="shared" si="94"/>
        <v>OK</v>
      </c>
      <c r="F139" s="264" t="str">
        <f t="shared" si="94"/>
        <v>OK</v>
      </c>
      <c r="G139" s="264" t="str">
        <f t="shared" si="94"/>
        <v>OK</v>
      </c>
      <c r="H139" s="264" t="str">
        <f t="shared" si="94"/>
        <v>OK</v>
      </c>
      <c r="I139" s="264" t="str">
        <f t="shared" si="94"/>
        <v>OK</v>
      </c>
      <c r="J139" s="264" t="str">
        <f t="shared" si="94"/>
        <v>NOK</v>
      </c>
      <c r="K139" s="264" t="str">
        <f t="shared" si="94"/>
        <v>NOK</v>
      </c>
      <c r="L139" s="264" t="str">
        <f t="shared" si="94"/>
        <v>OK</v>
      </c>
      <c r="M139" s="264" t="str">
        <f t="shared" si="94"/>
        <v>OK</v>
      </c>
      <c r="N139" s="264" t="str">
        <f t="shared" si="94"/>
        <v>NOK</v>
      </c>
      <c r="O139" s="264" t="str">
        <f t="shared" si="94"/>
        <v>OK</v>
      </c>
      <c r="P139" s="265">
        <f t="shared" ref="P139:P147" si="95">+COUNTIF(D138:O138,"OK")</f>
        <v>0</v>
      </c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</row>
    <row r="140" spans="2:33" x14ac:dyDescent="0.3">
      <c r="B140" s="1"/>
      <c r="C140" s="266" t="s">
        <v>222</v>
      </c>
      <c r="D140" s="267" t="str">
        <f t="shared" ref="D140:L140" si="96">IF(D28&gt;$R28,"OK","NOK")</f>
        <v>OK</v>
      </c>
      <c r="E140" s="267" t="str">
        <f t="shared" si="96"/>
        <v>OK</v>
      </c>
      <c r="F140" s="267" t="str">
        <f t="shared" si="96"/>
        <v>OK</v>
      </c>
      <c r="G140" s="267" t="str">
        <f t="shared" si="96"/>
        <v>OK</v>
      </c>
      <c r="H140" s="267" t="str">
        <f t="shared" si="96"/>
        <v>OK</v>
      </c>
      <c r="I140" s="267" t="str">
        <f t="shared" si="96"/>
        <v>OK</v>
      </c>
      <c r="J140" s="267" t="str">
        <f t="shared" si="96"/>
        <v>OK</v>
      </c>
      <c r="K140" s="267" t="str">
        <f t="shared" si="96"/>
        <v>OK</v>
      </c>
      <c r="L140" s="267" t="str">
        <f t="shared" si="96"/>
        <v>OK</v>
      </c>
      <c r="M140" s="267" t="str">
        <f>IF(M28&gt;$R28,"OK","NOK")</f>
        <v>OK</v>
      </c>
      <c r="N140" s="267" t="str">
        <f>IF(N28&gt;$R28,"OK","NOK")</f>
        <v>OK</v>
      </c>
      <c r="O140" s="267" t="str">
        <f>IF(O28&gt;$R28,"OK","NOK")</f>
        <v>OK</v>
      </c>
      <c r="P140" s="268">
        <f t="shared" si="95"/>
        <v>9</v>
      </c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</row>
    <row r="141" spans="2:33" ht="15" thickBot="1" x14ac:dyDescent="0.35">
      <c r="B141" s="1"/>
      <c r="C141" s="269" t="s">
        <v>230</v>
      </c>
      <c r="D141" s="270" t="str">
        <f t="shared" ref="D141:L141" si="97">IF(E39&lt;$Q39,"OK","NOK")</f>
        <v>OK</v>
      </c>
      <c r="E141" s="270" t="str">
        <f t="shared" si="97"/>
        <v>OK</v>
      </c>
      <c r="F141" s="270" t="str">
        <f t="shared" si="97"/>
        <v>OK</v>
      </c>
      <c r="G141" s="270" t="str">
        <f t="shared" si="97"/>
        <v>OK</v>
      </c>
      <c r="H141" s="270" t="str">
        <f t="shared" si="97"/>
        <v>OK</v>
      </c>
      <c r="I141" s="270" t="str">
        <f t="shared" si="97"/>
        <v>OK</v>
      </c>
      <c r="J141" s="270" t="str">
        <f t="shared" si="97"/>
        <v>OK</v>
      </c>
      <c r="K141" s="270" t="str">
        <f t="shared" si="97"/>
        <v>OK</v>
      </c>
      <c r="L141" s="270" t="str">
        <f t="shared" si="97"/>
        <v>OK</v>
      </c>
      <c r="M141" s="270" t="str">
        <f>IF(N39&lt;$Q39,"OK","NOK")</f>
        <v>OK</v>
      </c>
      <c r="N141" s="270" t="str">
        <f>IF(O39&lt;$Q39,"OK","NOK")</f>
        <v>OK</v>
      </c>
      <c r="O141" s="270" t="str">
        <f>IF(P39&lt;$Q39,"OK","NOK")</f>
        <v>OK</v>
      </c>
      <c r="P141" s="271">
        <f t="shared" si="95"/>
        <v>12</v>
      </c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</row>
    <row r="142" spans="2:33" x14ac:dyDescent="0.3">
      <c r="B142" s="1"/>
      <c r="C142" s="562" t="s">
        <v>223</v>
      </c>
      <c r="D142" s="232" t="str">
        <f t="shared" ref="D142:L142" si="98">IF(E50&gt;=$Q50,"OK","NOK")</f>
        <v>OK</v>
      </c>
      <c r="E142" s="232" t="str">
        <f t="shared" si="98"/>
        <v>OK</v>
      </c>
      <c r="F142" s="232" t="str">
        <f t="shared" si="98"/>
        <v>OK</v>
      </c>
      <c r="G142" s="232" t="str">
        <f t="shared" si="98"/>
        <v>OK</v>
      </c>
      <c r="H142" s="232" t="str">
        <f t="shared" si="98"/>
        <v>OK</v>
      </c>
      <c r="I142" s="232" t="str">
        <f t="shared" si="98"/>
        <v>OK</v>
      </c>
      <c r="J142" s="232" t="str">
        <f t="shared" si="98"/>
        <v>OK</v>
      </c>
      <c r="K142" s="232" t="str">
        <f t="shared" si="98"/>
        <v>OK</v>
      </c>
      <c r="L142" s="232" t="str">
        <f t="shared" si="98"/>
        <v>OK</v>
      </c>
      <c r="M142" s="232" t="str">
        <f>IF(N50&gt;=$Q50,"OK","NOK")</f>
        <v>OK</v>
      </c>
      <c r="N142" s="232" t="str">
        <f>IF(O50&gt;=$Q50,"OK","NOK")</f>
        <v>NOK</v>
      </c>
      <c r="O142" s="232" t="str">
        <f>IF(P50&gt;=$Q50,"OK","NOK")</f>
        <v>NOK</v>
      </c>
      <c r="P142" s="563">
        <f t="shared" si="95"/>
        <v>12</v>
      </c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</row>
    <row r="143" spans="2:33" x14ac:dyDescent="0.3">
      <c r="B143" s="1"/>
      <c r="C143" s="564" t="s">
        <v>224</v>
      </c>
      <c r="D143" s="2" t="str">
        <f t="shared" ref="D143:L143" si="99">IF(E54&gt;=$Q54,"OK","NOK")</f>
        <v>NOK</v>
      </c>
      <c r="E143" s="2" t="str">
        <f t="shared" si="99"/>
        <v>NOK</v>
      </c>
      <c r="F143" s="2" t="str">
        <f t="shared" si="99"/>
        <v>OK</v>
      </c>
      <c r="G143" s="2" t="str">
        <f t="shared" si="99"/>
        <v>NOK</v>
      </c>
      <c r="H143" s="2" t="str">
        <f t="shared" si="99"/>
        <v>NOK</v>
      </c>
      <c r="I143" s="2" t="str">
        <f t="shared" si="99"/>
        <v>NOK</v>
      </c>
      <c r="J143" s="2" t="str">
        <f t="shared" si="99"/>
        <v>OK</v>
      </c>
      <c r="K143" s="2" t="str">
        <f t="shared" si="99"/>
        <v>OK</v>
      </c>
      <c r="L143" s="2" t="str">
        <f t="shared" si="99"/>
        <v>OK</v>
      </c>
      <c r="M143" s="2" t="str">
        <f>IF(N54&gt;=$Q54,"OK","NOK")</f>
        <v>OK</v>
      </c>
      <c r="N143" s="2" t="str">
        <f>IF(O54&gt;=$Q54,"OK","NOK")</f>
        <v>OK</v>
      </c>
      <c r="O143" s="2" t="str">
        <f>IF(P54&gt;=$Q54,"OK","NOK")</f>
        <v>OK</v>
      </c>
      <c r="P143" s="565">
        <f t="shared" si="95"/>
        <v>10</v>
      </c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</row>
    <row r="144" spans="2:33" x14ac:dyDescent="0.3">
      <c r="B144" s="1"/>
      <c r="C144" s="564" t="s">
        <v>225</v>
      </c>
      <c r="D144" s="2" t="str">
        <f t="shared" ref="D144:H144" si="100">IF(C63&lt;$Q63,"OK","NOK")</f>
        <v>OK</v>
      </c>
      <c r="E144" s="2" t="str">
        <f t="shared" si="100"/>
        <v>OK</v>
      </c>
      <c r="F144" s="2" t="str">
        <f t="shared" si="100"/>
        <v>OK</v>
      </c>
      <c r="G144" s="2" t="str">
        <f t="shared" si="100"/>
        <v>OK</v>
      </c>
      <c r="H144" s="2" t="str">
        <f t="shared" si="100"/>
        <v>OK</v>
      </c>
      <c r="I144" s="2" t="str">
        <f t="shared" ref="I144:O144" si="101">IF(H63&lt;$Q63,"OK","NOK")</f>
        <v>OK</v>
      </c>
      <c r="J144" s="2" t="str">
        <f t="shared" si="101"/>
        <v>NOK</v>
      </c>
      <c r="K144" s="2" t="str">
        <f t="shared" si="101"/>
        <v>OK</v>
      </c>
      <c r="L144" s="2" t="str">
        <f t="shared" si="101"/>
        <v>OK</v>
      </c>
      <c r="M144" s="2" t="str">
        <f t="shared" si="101"/>
        <v>OK</v>
      </c>
      <c r="N144" s="2" t="str">
        <f t="shared" si="101"/>
        <v>OK</v>
      </c>
      <c r="O144" s="2" t="str">
        <f t="shared" si="101"/>
        <v>OK</v>
      </c>
      <c r="P144" s="565">
        <f t="shared" si="95"/>
        <v>7</v>
      </c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</row>
    <row r="145" spans="2:33" x14ac:dyDescent="0.3">
      <c r="B145" s="1"/>
      <c r="C145" s="564" t="s">
        <v>226</v>
      </c>
      <c r="D145" s="2" t="str">
        <f t="shared" ref="D145:H145" si="102">IF(C66&lt;=$Q66,"OK","NOK")</f>
        <v>OK</v>
      </c>
      <c r="E145" s="2" t="str">
        <f t="shared" si="102"/>
        <v>OK</v>
      </c>
      <c r="F145" s="2" t="str">
        <f t="shared" si="102"/>
        <v>OK</v>
      </c>
      <c r="G145" s="2" t="str">
        <f t="shared" si="102"/>
        <v>OK</v>
      </c>
      <c r="H145" s="2" t="str">
        <f t="shared" si="102"/>
        <v>OK</v>
      </c>
      <c r="I145" s="2" t="str">
        <f t="shared" ref="I145:O145" si="103">IF(H66&lt;=$Q66,"OK","NOK")</f>
        <v>OK</v>
      </c>
      <c r="J145" s="2" t="str">
        <f t="shared" si="103"/>
        <v>NOK</v>
      </c>
      <c r="K145" s="2" t="str">
        <f t="shared" si="103"/>
        <v>OK</v>
      </c>
      <c r="L145" s="2" t="str">
        <f t="shared" si="103"/>
        <v>OK</v>
      </c>
      <c r="M145" s="2" t="str">
        <f t="shared" si="103"/>
        <v>OK</v>
      </c>
      <c r="N145" s="2" t="str">
        <f t="shared" si="103"/>
        <v>OK</v>
      </c>
      <c r="O145" s="2" t="str">
        <f t="shared" si="103"/>
        <v>OK</v>
      </c>
      <c r="P145" s="565">
        <f t="shared" si="95"/>
        <v>11</v>
      </c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</row>
    <row r="146" spans="2:33" x14ac:dyDescent="0.3">
      <c r="B146" s="1"/>
      <c r="C146" s="564" t="s">
        <v>228</v>
      </c>
      <c r="D146" s="2" t="str">
        <f t="shared" ref="D146:M146" si="104">IF(C109&gt;$Q109,"OK","NOK")</f>
        <v>OK</v>
      </c>
      <c r="E146" s="2" t="str">
        <f t="shared" si="104"/>
        <v>OK</v>
      </c>
      <c r="F146" s="2" t="str">
        <f t="shared" si="104"/>
        <v>NOK</v>
      </c>
      <c r="G146" s="2" t="str">
        <f t="shared" si="104"/>
        <v>NOK</v>
      </c>
      <c r="H146" s="2" t="str">
        <f t="shared" si="104"/>
        <v>OK</v>
      </c>
      <c r="I146" s="2" t="str">
        <f t="shared" si="104"/>
        <v>OK</v>
      </c>
      <c r="J146" s="2" t="str">
        <f t="shared" si="104"/>
        <v>NOK</v>
      </c>
      <c r="K146" s="2" t="str">
        <f t="shared" si="104"/>
        <v>OK</v>
      </c>
      <c r="L146" s="2" t="str">
        <f t="shared" si="104"/>
        <v>OK</v>
      </c>
      <c r="M146" s="2" t="str">
        <f t="shared" si="104"/>
        <v>NOK</v>
      </c>
      <c r="N146" s="2" t="str">
        <f>IF(M109&gt;$Q109,"OK","NOK")</f>
        <v>NOK</v>
      </c>
      <c r="O146" s="2" t="str">
        <f>IF(N110&gt;$Q109,"OK","NOK")</f>
        <v>NOK</v>
      </c>
      <c r="P146" s="565">
        <f t="shared" si="95"/>
        <v>11</v>
      </c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</row>
    <row r="147" spans="2:33" ht="15" thickBot="1" x14ac:dyDescent="0.35">
      <c r="B147" s="1"/>
      <c r="C147" s="566" t="s">
        <v>227</v>
      </c>
      <c r="D147" s="2" t="str">
        <f>IF(C119&gt;$Q119,"OK","NOK")</f>
        <v>NOK</v>
      </c>
      <c r="E147" s="2" t="str">
        <f>IF(D119&gt;$Q119,"OK","NOK")</f>
        <v>NOK</v>
      </c>
      <c r="F147" s="2" t="str">
        <f>IF(E120&gt;$Q119,"OK","NOK")</f>
        <v>NOK</v>
      </c>
      <c r="G147" s="2" t="str">
        <f t="shared" ref="G147:M147" si="105">IF(F119&gt;$Q119,"OK","NOK")</f>
        <v>NOK</v>
      </c>
      <c r="H147" s="2" t="str">
        <f>IF(G119&lt;$Q119,"OK","NOK")</f>
        <v>OK</v>
      </c>
      <c r="I147" s="2" t="str">
        <f>IF(H119&lt;$Q119,"OK","NOK")</f>
        <v>OK</v>
      </c>
      <c r="J147" s="2" t="str">
        <f t="shared" si="105"/>
        <v>NOK</v>
      </c>
      <c r="K147" s="2" t="str">
        <f t="shared" si="105"/>
        <v>NOK</v>
      </c>
      <c r="L147" s="2" t="str">
        <f t="shared" si="105"/>
        <v>NOK</v>
      </c>
      <c r="M147" s="2" t="str">
        <f t="shared" si="105"/>
        <v>NOK</v>
      </c>
      <c r="N147" s="2" t="str">
        <f>IF(M119&gt;$Q119,"OK","NOK")</f>
        <v>NOK</v>
      </c>
      <c r="O147" s="2" t="str">
        <f>IF(N119&gt;$Q119,"OK","NOK")</f>
        <v>NOK</v>
      </c>
      <c r="P147" s="565">
        <f t="shared" si="95"/>
        <v>6</v>
      </c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</row>
    <row r="148" spans="2:33" ht="15" thickBot="1" x14ac:dyDescent="0.35">
      <c r="B148" s="1"/>
      <c r="C148" s="230" t="s">
        <v>231</v>
      </c>
      <c r="D148" s="231">
        <f t="shared" ref="D148:P148" si="106">COUNTIF(D139:D147,"OK")</f>
        <v>7</v>
      </c>
      <c r="E148" s="231">
        <f t="shared" si="106"/>
        <v>7</v>
      </c>
      <c r="F148" s="231">
        <f t="shared" si="106"/>
        <v>7</v>
      </c>
      <c r="G148" s="231">
        <f t="shared" si="106"/>
        <v>6</v>
      </c>
      <c r="H148" s="231">
        <f t="shared" si="106"/>
        <v>8</v>
      </c>
      <c r="I148" s="231">
        <f t="shared" si="106"/>
        <v>8</v>
      </c>
      <c r="J148" s="231">
        <f t="shared" si="106"/>
        <v>4</v>
      </c>
      <c r="K148" s="231">
        <f t="shared" si="106"/>
        <v>7</v>
      </c>
      <c r="L148" s="231">
        <f t="shared" si="106"/>
        <v>8</v>
      </c>
      <c r="M148" s="231">
        <f t="shared" si="106"/>
        <v>7</v>
      </c>
      <c r="N148" s="231">
        <f t="shared" si="106"/>
        <v>5</v>
      </c>
      <c r="O148" s="231">
        <f t="shared" si="106"/>
        <v>6</v>
      </c>
      <c r="P148" s="567">
        <f t="shared" si="106"/>
        <v>0</v>
      </c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</row>
    <row r="149" spans="2:33" ht="15" thickBot="1" x14ac:dyDescent="0.35">
      <c r="B149" s="1"/>
      <c r="C149" s="230" t="s">
        <v>232</v>
      </c>
      <c r="D149" s="233">
        <f t="shared" ref="D149:O149" si="107">D148/9</f>
        <v>0.77777777777777779</v>
      </c>
      <c r="E149" s="233">
        <f t="shared" si="107"/>
        <v>0.77777777777777779</v>
      </c>
      <c r="F149" s="233">
        <f t="shared" si="107"/>
        <v>0.77777777777777779</v>
      </c>
      <c r="G149" s="233">
        <f t="shared" si="107"/>
        <v>0.66666666666666663</v>
      </c>
      <c r="H149" s="233">
        <f t="shared" si="107"/>
        <v>0.88888888888888884</v>
      </c>
      <c r="I149" s="233">
        <f t="shared" si="107"/>
        <v>0.88888888888888884</v>
      </c>
      <c r="J149" s="233">
        <f t="shared" si="107"/>
        <v>0.44444444444444442</v>
      </c>
      <c r="K149" s="233">
        <f t="shared" si="107"/>
        <v>0.77777777777777779</v>
      </c>
      <c r="L149" s="233">
        <f t="shared" si="107"/>
        <v>0.88888888888888884</v>
      </c>
      <c r="M149" s="233">
        <f t="shared" si="107"/>
        <v>0.77777777777777779</v>
      </c>
      <c r="N149" s="233">
        <f t="shared" si="107"/>
        <v>0.55555555555555558</v>
      </c>
      <c r="O149" s="233">
        <f t="shared" si="107"/>
        <v>0.66666666666666663</v>
      </c>
      <c r="P149" s="569">
        <f>P148/108</f>
        <v>0</v>
      </c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</row>
    <row r="150" spans="2:33" x14ac:dyDescent="0.3"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</row>
    <row r="151" spans="2:33" x14ac:dyDescent="0.3"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</row>
    <row r="152" spans="2:33" x14ac:dyDescent="0.3"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</row>
    <row r="153" spans="2:33" x14ac:dyDescent="0.3"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</row>
    <row r="154" spans="2:33" x14ac:dyDescent="0.3"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</row>
    <row r="155" spans="2:33" x14ac:dyDescent="0.3"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</row>
    <row r="156" spans="2:33" x14ac:dyDescent="0.3"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</row>
    <row r="157" spans="2:33" x14ac:dyDescent="0.3"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</row>
    <row r="158" spans="2:33" x14ac:dyDescent="0.3"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</row>
    <row r="159" spans="2:33" x14ac:dyDescent="0.3"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</row>
    <row r="160" spans="2:33" x14ac:dyDescent="0.3"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</row>
    <row r="161" spans="2:33" x14ac:dyDescent="0.3"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</row>
    <row r="162" spans="2:33" x14ac:dyDescent="0.3"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</row>
    <row r="163" spans="2:33" x14ac:dyDescent="0.3"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</row>
    <row r="164" spans="2:33" x14ac:dyDescent="0.3"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</row>
    <row r="165" spans="2:33" x14ac:dyDescent="0.3"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</row>
  </sheetData>
  <mergeCells count="28">
    <mergeCell ref="T22:T24"/>
    <mergeCell ref="B2:AA2"/>
    <mergeCell ref="B4:F4"/>
    <mergeCell ref="H4:L4"/>
    <mergeCell ref="B9:F9"/>
    <mergeCell ref="H9:L9"/>
    <mergeCell ref="G23:H23"/>
    <mergeCell ref="G24:H24"/>
    <mergeCell ref="O23:P23"/>
    <mergeCell ref="Q23:R23"/>
    <mergeCell ref="O24:P24"/>
    <mergeCell ref="Q24:R24"/>
    <mergeCell ref="I24:J24"/>
    <mergeCell ref="S22:S24"/>
    <mergeCell ref="O22:R22"/>
    <mergeCell ref="C21:J21"/>
    <mergeCell ref="M7:M9"/>
    <mergeCell ref="M10:M12"/>
    <mergeCell ref="E42:P42"/>
    <mergeCell ref="B14:F14"/>
    <mergeCell ref="H14:L14"/>
    <mergeCell ref="C33:D33"/>
    <mergeCell ref="C31:D31"/>
    <mergeCell ref="C32:D32"/>
    <mergeCell ref="I23:J23"/>
    <mergeCell ref="C22:F22"/>
    <mergeCell ref="G22:J22"/>
    <mergeCell ref="K22:N22"/>
  </mergeCells>
  <phoneticPr fontId="18" type="noConversion"/>
  <conditionalFormatting sqref="C56:N67 C69:L84 M69:N86 C85:D86 F85:L86 C87:O87">
    <cfRule type="containsErrors" dxfId="324" priority="9">
      <formula>ISERROR(C56)</formula>
    </cfRule>
  </conditionalFormatting>
  <conditionalFormatting sqref="D149:P149">
    <cfRule type="containsText" dxfId="323" priority="5" operator="containsText" text="NOK">
      <formula>NOT(ISERROR(SEARCH("NOK",D149)))</formula>
    </cfRule>
  </conditionalFormatting>
  <conditionalFormatting sqref="E81:E86 C88:N89">
    <cfRule type="containsErrors" dxfId="322" priority="1">
      <formula>ISERROR(C81)</formula>
    </cfRule>
  </conditionalFormatting>
  <conditionalFormatting sqref="M128:O137 D128:L147 M138:P138 M139:O147">
    <cfRule type="containsText" dxfId="321" priority="4" operator="containsText" text="NOK">
      <formula>NOT(ISERROR(SEARCH("NOK",D128)))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DDE44-ECA3-4E20-A908-969CD0ECBBBB}">
  <dimension ref="A2:AA145"/>
  <sheetViews>
    <sheetView topLeftCell="B56" workbookViewId="0">
      <selection activeCell="J118" sqref="J118"/>
    </sheetView>
  </sheetViews>
  <sheetFormatPr defaultRowHeight="14.4" x14ac:dyDescent="0.3"/>
  <cols>
    <col min="1" max="1" width="9.109375" hidden="1" customWidth="1"/>
    <col min="2" max="2" width="13.5546875" customWidth="1"/>
    <col min="3" max="3" width="13.88671875" bestFit="1" customWidth="1"/>
    <col min="4" max="7" width="13.109375" customWidth="1"/>
    <col min="8" max="8" width="13.88671875" customWidth="1"/>
    <col min="9" max="12" width="13.109375" customWidth="1"/>
    <col min="13" max="13" width="14.88671875" bestFit="1" customWidth="1"/>
    <col min="14" max="14" width="13.109375" customWidth="1"/>
    <col min="15" max="15" width="17.88671875" bestFit="1" customWidth="1"/>
    <col min="16" max="16" width="11" customWidth="1"/>
    <col min="17" max="17" width="12.6640625" customWidth="1"/>
    <col min="24" max="24" width="11.5546875" bestFit="1" customWidth="1"/>
    <col min="27" max="27" width="11.5546875" bestFit="1" customWidth="1"/>
    <col min="28" max="28" width="11.6640625" bestFit="1" customWidth="1"/>
  </cols>
  <sheetData>
    <row r="2" spans="2:27" ht="21" x14ac:dyDescent="0.4">
      <c r="B2" s="637" t="s">
        <v>0</v>
      </c>
      <c r="C2" s="637"/>
      <c r="D2" s="637"/>
      <c r="E2" s="637"/>
      <c r="F2" s="637"/>
      <c r="G2" s="637"/>
      <c r="H2" s="637"/>
      <c r="I2" s="637"/>
      <c r="J2" s="637"/>
      <c r="K2" s="637"/>
      <c r="L2" s="637"/>
      <c r="M2" s="637"/>
      <c r="N2" s="637"/>
      <c r="O2" s="637"/>
      <c r="P2" s="637"/>
      <c r="Q2" s="637"/>
      <c r="R2" s="637"/>
      <c r="S2" s="637"/>
      <c r="T2" s="637"/>
      <c r="U2" s="637"/>
      <c r="V2" s="637"/>
      <c r="W2" s="637"/>
      <c r="X2" s="637"/>
      <c r="Y2" s="637"/>
      <c r="Z2" s="637"/>
      <c r="AA2" s="637"/>
    </row>
    <row r="3" spans="2:27" x14ac:dyDescent="0.3"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</row>
    <row r="4" spans="2:27" x14ac:dyDescent="0.3">
      <c r="B4" s="626" t="s">
        <v>1</v>
      </c>
      <c r="C4" s="626"/>
      <c r="D4" s="626"/>
      <c r="E4" s="626"/>
      <c r="F4" s="626"/>
      <c r="G4" s="1"/>
      <c r="H4" s="626" t="s">
        <v>61</v>
      </c>
      <c r="I4" s="626"/>
      <c r="J4" s="626"/>
      <c r="K4" s="626"/>
      <c r="L4" s="626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</row>
    <row r="5" spans="2:27" x14ac:dyDescent="0.3">
      <c r="B5" s="57" t="s">
        <v>3</v>
      </c>
      <c r="C5" s="189" t="s">
        <v>4</v>
      </c>
      <c r="D5" s="189" t="s">
        <v>5</v>
      </c>
      <c r="E5" s="189" t="s">
        <v>6</v>
      </c>
      <c r="F5" s="189" t="s">
        <v>252</v>
      </c>
      <c r="G5" s="222" t="s">
        <v>218</v>
      </c>
      <c r="H5" s="58" t="s">
        <v>3</v>
      </c>
      <c r="I5" s="189" t="s">
        <v>4</v>
      </c>
      <c r="J5" s="189" t="s">
        <v>5</v>
      </c>
      <c r="K5" s="189" t="s">
        <v>6</v>
      </c>
      <c r="L5" s="189" t="s">
        <v>252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</row>
    <row r="6" spans="2:27" x14ac:dyDescent="0.3">
      <c r="B6" s="56" t="s">
        <v>7</v>
      </c>
      <c r="C6" s="179"/>
      <c r="D6" s="179"/>
      <c r="E6" s="179"/>
      <c r="F6" s="179"/>
      <c r="G6" s="222">
        <v>100</v>
      </c>
      <c r="H6" s="56" t="s">
        <v>7</v>
      </c>
      <c r="I6" s="179"/>
      <c r="J6" s="179"/>
      <c r="K6" s="179"/>
      <c r="L6" s="179"/>
      <c r="M6" s="1"/>
      <c r="N6" s="55" t="s">
        <v>32</v>
      </c>
      <c r="O6" s="55" t="s">
        <v>201</v>
      </c>
      <c r="P6" s="55" t="s">
        <v>202</v>
      </c>
      <c r="Q6" s="55" t="s">
        <v>35</v>
      </c>
      <c r="R6" s="55" t="s">
        <v>36</v>
      </c>
      <c r="S6" s="55" t="s">
        <v>37</v>
      </c>
      <c r="T6" s="55" t="s">
        <v>38</v>
      </c>
      <c r="U6" s="55" t="s">
        <v>39</v>
      </c>
      <c r="V6" s="55" t="s">
        <v>40</v>
      </c>
      <c r="W6" s="55" t="s">
        <v>41</v>
      </c>
      <c r="X6" s="55" t="s">
        <v>42</v>
      </c>
      <c r="Y6" s="55" t="s">
        <v>43</v>
      </c>
      <c r="Z6" s="55" t="s">
        <v>1</v>
      </c>
      <c r="AA6" s="1" t="s">
        <v>215</v>
      </c>
    </row>
    <row r="7" spans="2:27" x14ac:dyDescent="0.3">
      <c r="B7" s="56" t="s">
        <v>8</v>
      </c>
      <c r="C7" s="179"/>
      <c r="D7" s="179"/>
      <c r="E7" s="179"/>
      <c r="F7" s="179"/>
      <c r="G7" s="222"/>
      <c r="H7" s="56" t="s">
        <v>8</v>
      </c>
      <c r="I7" s="179"/>
      <c r="J7" s="179"/>
      <c r="K7" s="179"/>
      <c r="L7" s="179"/>
      <c r="M7" s="1" t="s">
        <v>3</v>
      </c>
      <c r="N7" s="55">
        <v>105</v>
      </c>
      <c r="O7" s="55">
        <v>101</v>
      </c>
      <c r="P7" s="55">
        <v>103</v>
      </c>
      <c r="Q7" s="55">
        <v>113</v>
      </c>
      <c r="R7" s="55"/>
      <c r="S7" s="55"/>
      <c r="T7" s="55"/>
      <c r="U7" s="55"/>
      <c r="V7" s="55"/>
      <c r="W7" s="55"/>
      <c r="X7" s="55"/>
      <c r="Y7" s="55"/>
      <c r="Z7" s="55"/>
      <c r="AA7" s="55">
        <v>141</v>
      </c>
    </row>
    <row r="8" spans="2:27" x14ac:dyDescent="0.3">
      <c r="B8" s="56" t="s">
        <v>9</v>
      </c>
      <c r="C8" s="179">
        <v>107</v>
      </c>
      <c r="D8" s="179">
        <v>1</v>
      </c>
      <c r="E8" s="179">
        <v>14</v>
      </c>
      <c r="F8" s="323">
        <f>(E8/188)</f>
        <v>7.4468085106382975E-2</v>
      </c>
      <c r="G8" s="222"/>
      <c r="H8" s="56" t="s">
        <v>9</v>
      </c>
      <c r="I8" s="179">
        <v>176</v>
      </c>
      <c r="J8" s="179"/>
      <c r="K8" s="179">
        <v>128</v>
      </c>
      <c r="L8" s="323">
        <f>(K8/188)</f>
        <v>0.68085106382978722</v>
      </c>
      <c r="M8" s="1" t="s">
        <v>10</v>
      </c>
      <c r="N8" s="55">
        <v>88</v>
      </c>
      <c r="O8" s="55">
        <v>92</v>
      </c>
      <c r="P8" s="55">
        <v>94</v>
      </c>
      <c r="Q8" s="55">
        <v>107</v>
      </c>
      <c r="R8" s="55"/>
      <c r="S8" s="55"/>
      <c r="T8" s="55"/>
      <c r="U8" s="55"/>
      <c r="V8" s="55"/>
      <c r="W8" s="55"/>
      <c r="X8" s="55"/>
      <c r="Y8" s="55"/>
      <c r="Z8" s="55"/>
      <c r="AA8" s="55">
        <v>107</v>
      </c>
    </row>
    <row r="9" spans="2:27" x14ac:dyDescent="0.3">
      <c r="B9" s="626" t="s">
        <v>1</v>
      </c>
      <c r="C9" s="626"/>
      <c r="D9" s="626"/>
      <c r="E9" s="626"/>
      <c r="F9" s="626"/>
      <c r="G9" s="222"/>
      <c r="H9" s="626" t="s">
        <v>60</v>
      </c>
      <c r="I9" s="626"/>
      <c r="J9" s="626"/>
      <c r="K9" s="626"/>
      <c r="L9" s="626"/>
      <c r="M9" s="1" t="s">
        <v>200</v>
      </c>
      <c r="N9" s="55">
        <v>98</v>
      </c>
      <c r="O9" s="55">
        <v>97</v>
      </c>
      <c r="P9" s="55">
        <v>99</v>
      </c>
      <c r="Q9" s="55">
        <v>111</v>
      </c>
      <c r="R9" s="55"/>
      <c r="S9" s="55"/>
      <c r="T9" s="55"/>
      <c r="U9" s="55"/>
      <c r="V9" s="55"/>
      <c r="W9" s="55"/>
      <c r="X9" s="55"/>
      <c r="Y9" s="55"/>
      <c r="Z9" s="55"/>
      <c r="AA9" s="55">
        <v>128</v>
      </c>
    </row>
    <row r="10" spans="2:27" x14ac:dyDescent="0.3">
      <c r="B10" s="57" t="s">
        <v>10</v>
      </c>
      <c r="C10" s="189" t="s">
        <v>4</v>
      </c>
      <c r="D10" s="189" t="s">
        <v>5</v>
      </c>
      <c r="E10" s="189" t="s">
        <v>6</v>
      </c>
      <c r="F10" s="189" t="s">
        <v>252</v>
      </c>
      <c r="G10" s="222" t="s">
        <v>218</v>
      </c>
      <c r="H10" s="58" t="s">
        <v>10</v>
      </c>
      <c r="I10" s="189" t="s">
        <v>4</v>
      </c>
      <c r="J10" s="189" t="s">
        <v>5</v>
      </c>
      <c r="K10" s="189" t="s">
        <v>6</v>
      </c>
      <c r="L10" s="189" t="s">
        <v>252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</row>
    <row r="11" spans="2:27" x14ac:dyDescent="0.3">
      <c r="B11" s="56" t="s">
        <v>7</v>
      </c>
      <c r="C11" s="179"/>
      <c r="D11" s="179"/>
      <c r="E11" s="179"/>
      <c r="F11" s="179"/>
      <c r="G11" s="222">
        <v>95</v>
      </c>
      <c r="H11" s="56" t="s">
        <v>7</v>
      </c>
      <c r="I11" s="179"/>
      <c r="J11" s="179"/>
      <c r="K11" s="179"/>
      <c r="L11" s="179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</row>
    <row r="12" spans="2:27" x14ac:dyDescent="0.3">
      <c r="B12" s="56" t="s">
        <v>8</v>
      </c>
      <c r="C12" s="179"/>
      <c r="D12" s="179"/>
      <c r="E12" s="179"/>
      <c r="F12" s="179"/>
      <c r="G12" s="222"/>
      <c r="H12" s="56" t="s">
        <v>8</v>
      </c>
      <c r="I12" s="179"/>
      <c r="J12" s="179"/>
      <c r="K12" s="179"/>
      <c r="L12" s="179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</row>
    <row r="13" spans="2:27" x14ac:dyDescent="0.3">
      <c r="B13" s="56" t="s">
        <v>9</v>
      </c>
      <c r="C13" s="179">
        <v>97</v>
      </c>
      <c r="D13" s="179">
        <v>2</v>
      </c>
      <c r="E13" s="179">
        <v>4</v>
      </c>
      <c r="F13" s="323">
        <f>(E13/188)</f>
        <v>2.1276595744680851E-2</v>
      </c>
      <c r="G13" s="221"/>
      <c r="H13" s="56" t="s">
        <v>9</v>
      </c>
      <c r="I13" s="179">
        <v>126</v>
      </c>
      <c r="J13" s="179"/>
      <c r="K13" s="179">
        <v>40</v>
      </c>
      <c r="L13" s="323">
        <f>(K13/188)</f>
        <v>0.21276595744680851</v>
      </c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</row>
    <row r="14" spans="2:27" x14ac:dyDescent="0.3"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</row>
    <row r="15" spans="2:27" ht="21" x14ac:dyDescent="0.4">
      <c r="B15" s="637" t="s">
        <v>11</v>
      </c>
      <c r="C15" s="637"/>
      <c r="D15" s="637"/>
      <c r="E15" s="637"/>
      <c r="F15" s="637"/>
      <c r="G15" s="637"/>
      <c r="H15" s="637"/>
      <c r="I15" s="637"/>
      <c r="J15" s="637"/>
      <c r="K15" s="637"/>
      <c r="L15" s="637"/>
      <c r="M15" s="637"/>
      <c r="N15" s="637"/>
      <c r="O15" s="637"/>
      <c r="P15" s="637"/>
      <c r="Q15" s="637"/>
      <c r="R15" s="637"/>
      <c r="S15" s="637"/>
      <c r="T15" s="637"/>
      <c r="U15" s="637"/>
      <c r="V15" s="637"/>
      <c r="W15" s="637"/>
      <c r="X15" s="637"/>
      <c r="Y15" s="637"/>
      <c r="Z15" s="637"/>
      <c r="AA15" s="637"/>
    </row>
    <row r="17" spans="3:20" ht="15" thickBot="1" x14ac:dyDescent="0.35">
      <c r="C17" s="645" t="s">
        <v>205</v>
      </c>
      <c r="D17" s="645"/>
      <c r="E17" s="645"/>
      <c r="F17" s="645"/>
      <c r="G17" s="645"/>
      <c r="H17" s="645"/>
      <c r="I17" s="645"/>
      <c r="J17" s="645"/>
      <c r="K17" s="645" t="s">
        <v>12</v>
      </c>
      <c r="L17" s="645"/>
      <c r="M17" s="645"/>
      <c r="N17" s="645"/>
      <c r="O17" s="645"/>
      <c r="P17" s="645"/>
      <c r="Q17" s="645"/>
      <c r="R17" s="645"/>
      <c r="S17" s="220"/>
      <c r="T17" s="220"/>
    </row>
    <row r="18" spans="3:20" x14ac:dyDescent="0.3">
      <c r="C18" s="631" t="s">
        <v>61</v>
      </c>
      <c r="D18" s="632"/>
      <c r="E18" s="632"/>
      <c r="F18" s="633"/>
      <c r="G18" s="631" t="s">
        <v>14</v>
      </c>
      <c r="H18" s="632"/>
      <c r="I18" s="632"/>
      <c r="J18" s="633"/>
      <c r="K18" s="631" t="s">
        <v>61</v>
      </c>
      <c r="L18" s="632"/>
      <c r="M18" s="632"/>
      <c r="N18" s="633"/>
      <c r="O18" s="631" t="s">
        <v>14</v>
      </c>
      <c r="P18" s="632"/>
      <c r="Q18" s="632"/>
      <c r="R18" s="633"/>
      <c r="S18" s="644"/>
      <c r="T18" s="625"/>
    </row>
    <row r="19" spans="3:20" x14ac:dyDescent="0.3">
      <c r="C19" s="59" t="s">
        <v>15</v>
      </c>
      <c r="D19" s="189" t="s">
        <v>5</v>
      </c>
      <c r="E19" s="189" t="s">
        <v>16</v>
      </c>
      <c r="F19" s="60" t="s">
        <v>5</v>
      </c>
      <c r="G19" s="638" t="s">
        <v>15</v>
      </c>
      <c r="H19" s="639"/>
      <c r="I19" s="629" t="s">
        <v>16</v>
      </c>
      <c r="J19" s="630"/>
      <c r="K19" s="59" t="s">
        <v>15</v>
      </c>
      <c r="L19" s="189" t="s">
        <v>5</v>
      </c>
      <c r="M19" s="189" t="s">
        <v>16</v>
      </c>
      <c r="N19" s="60" t="s">
        <v>5</v>
      </c>
      <c r="O19" s="638" t="s">
        <v>15</v>
      </c>
      <c r="P19" s="639"/>
      <c r="Q19" s="629" t="s">
        <v>16</v>
      </c>
      <c r="R19" s="630"/>
      <c r="S19" s="644"/>
      <c r="T19" s="625"/>
    </row>
    <row r="20" spans="3:20" ht="15" thickBot="1" x14ac:dyDescent="0.35">
      <c r="C20" s="176">
        <v>100</v>
      </c>
      <c r="D20" s="177"/>
      <c r="E20" s="177">
        <v>100</v>
      </c>
      <c r="F20" s="178"/>
      <c r="G20" s="640">
        <v>93.51</v>
      </c>
      <c r="H20" s="641"/>
      <c r="I20" s="642">
        <v>95.31</v>
      </c>
      <c r="J20" s="643"/>
      <c r="K20" s="176">
        <v>77.78</v>
      </c>
      <c r="L20" s="177"/>
      <c r="M20" s="177">
        <v>81.48</v>
      </c>
      <c r="N20" s="178"/>
      <c r="O20" s="640">
        <v>94.1</v>
      </c>
      <c r="P20" s="641"/>
      <c r="Q20" s="642">
        <v>95.1</v>
      </c>
      <c r="R20" s="643"/>
      <c r="S20" s="644"/>
      <c r="T20" s="625"/>
    </row>
    <row r="21" spans="3:20" x14ac:dyDescent="0.3"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</row>
    <row r="22" spans="3:20" x14ac:dyDescent="0.3">
      <c r="C22" s="190" t="s">
        <v>15</v>
      </c>
      <c r="D22" s="197" t="s">
        <v>32</v>
      </c>
      <c r="E22" s="197" t="s">
        <v>33</v>
      </c>
      <c r="F22" s="197" t="s">
        <v>34</v>
      </c>
      <c r="G22" s="197" t="s">
        <v>35</v>
      </c>
      <c r="H22" s="197" t="s">
        <v>36</v>
      </c>
      <c r="I22" s="197" t="s">
        <v>37</v>
      </c>
      <c r="J22" s="197" t="s">
        <v>38</v>
      </c>
      <c r="K22" s="197" t="s">
        <v>39</v>
      </c>
      <c r="L22" s="197" t="s">
        <v>40</v>
      </c>
      <c r="M22" s="197" t="s">
        <v>41</v>
      </c>
      <c r="N22" s="197" t="s">
        <v>42</v>
      </c>
      <c r="O22" s="197" t="s">
        <v>43</v>
      </c>
      <c r="P22" s="197" t="s">
        <v>1</v>
      </c>
      <c r="Q22" s="217" t="s">
        <v>215</v>
      </c>
      <c r="R22" s="222" t="s">
        <v>218</v>
      </c>
      <c r="S22" s="222"/>
      <c r="T22" s="1"/>
    </row>
    <row r="23" spans="3:20" x14ac:dyDescent="0.3">
      <c r="C23" s="59" t="s">
        <v>18</v>
      </c>
      <c r="D23" s="59">
        <v>91.46</v>
      </c>
      <c r="E23" s="59">
        <v>95.35</v>
      </c>
      <c r="F23" s="59">
        <v>93.24</v>
      </c>
      <c r="G23" s="59">
        <v>96.28</v>
      </c>
      <c r="H23" s="59">
        <v>93.8</v>
      </c>
      <c r="I23" s="59"/>
      <c r="J23" s="59"/>
      <c r="K23" s="59"/>
      <c r="L23" s="59"/>
      <c r="M23" s="59"/>
      <c r="N23" s="59"/>
      <c r="O23" s="59"/>
      <c r="P23" s="59">
        <v>94.69</v>
      </c>
      <c r="Q23" s="218">
        <v>93.74</v>
      </c>
      <c r="R23" s="225">
        <v>93</v>
      </c>
      <c r="S23" s="646"/>
      <c r="T23" s="1"/>
    </row>
    <row r="24" spans="3:20" ht="15" thickBot="1" x14ac:dyDescent="0.35">
      <c r="C24" s="176" t="s">
        <v>22</v>
      </c>
      <c r="D24" s="176">
        <v>94.09</v>
      </c>
      <c r="E24" s="176">
        <v>93.02</v>
      </c>
      <c r="F24" s="176">
        <v>93.87</v>
      </c>
      <c r="G24" s="176">
        <v>93.08</v>
      </c>
      <c r="H24" s="176">
        <v>94.07</v>
      </c>
      <c r="I24" s="176"/>
      <c r="J24" s="176"/>
      <c r="K24" s="176"/>
      <c r="L24" s="176"/>
      <c r="M24" s="176"/>
      <c r="N24" s="176"/>
      <c r="O24" s="176"/>
      <c r="P24" s="176">
        <v>93.57</v>
      </c>
      <c r="Q24" s="219">
        <v>93.64</v>
      </c>
      <c r="R24" s="225">
        <v>93</v>
      </c>
      <c r="S24" s="646"/>
      <c r="T24" s="1"/>
    </row>
    <row r="25" spans="3:20" x14ac:dyDescent="0.3"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</row>
    <row r="26" spans="3:20" x14ac:dyDescent="0.3">
      <c r="C26" s="620" t="s">
        <v>233</v>
      </c>
      <c r="D26" s="620"/>
      <c r="E26" s="620"/>
      <c r="F26" s="620"/>
      <c r="G26" s="620"/>
      <c r="H26" s="620"/>
      <c r="I26" s="620"/>
      <c r="J26" s="620"/>
      <c r="K26" s="620"/>
      <c r="L26" s="620"/>
      <c r="M26" s="620"/>
      <c r="N26" s="620"/>
      <c r="O26" s="620"/>
      <c r="P26" s="620"/>
      <c r="Q26" s="620"/>
      <c r="R26" s="1"/>
      <c r="S26" s="204"/>
      <c r="T26" s="205"/>
    </row>
    <row r="27" spans="3:20" x14ac:dyDescent="0.3">
      <c r="C27" s="628" t="s">
        <v>17</v>
      </c>
      <c r="D27" s="628"/>
      <c r="E27" s="174">
        <v>106752</v>
      </c>
      <c r="F27" s="190" t="s">
        <v>18</v>
      </c>
      <c r="G27" s="189" t="s">
        <v>19</v>
      </c>
      <c r="H27" s="189" t="s">
        <v>20</v>
      </c>
      <c r="I27" s="189" t="s">
        <v>21</v>
      </c>
      <c r="J27" s="190" t="s">
        <v>22</v>
      </c>
      <c r="K27" s="189" t="s">
        <v>19</v>
      </c>
      <c r="L27" s="189" t="s">
        <v>20</v>
      </c>
      <c r="M27" s="189" t="s">
        <v>21</v>
      </c>
      <c r="N27" s="190" t="s">
        <v>215</v>
      </c>
      <c r="O27" s="237" t="s">
        <v>3</v>
      </c>
      <c r="P27" s="237" t="s">
        <v>10</v>
      </c>
      <c r="Q27" s="237" t="s">
        <v>216</v>
      </c>
      <c r="R27" s="1"/>
      <c r="S27" s="204"/>
      <c r="T27" s="205"/>
    </row>
    <row r="28" spans="3:20" x14ac:dyDescent="0.3">
      <c r="C28" s="628" t="s">
        <v>23</v>
      </c>
      <c r="D28" s="628"/>
      <c r="E28" s="175">
        <v>71929</v>
      </c>
      <c r="F28" s="61" t="s">
        <v>24</v>
      </c>
      <c r="G28" s="169"/>
      <c r="H28" s="169"/>
      <c r="I28" s="62">
        <f>SUM(G28:H28)</f>
        <v>0</v>
      </c>
      <c r="J28" s="61" t="s">
        <v>24</v>
      </c>
      <c r="K28" s="169">
        <v>1</v>
      </c>
      <c r="L28" s="169">
        <v>1</v>
      </c>
      <c r="M28" s="62">
        <f>SUM(K28:L28)</f>
        <v>2</v>
      </c>
      <c r="N28" s="235" t="s">
        <v>19</v>
      </c>
      <c r="O28" s="234">
        <v>3</v>
      </c>
      <c r="P28" s="234">
        <v>0</v>
      </c>
      <c r="Q28" s="234">
        <v>3</v>
      </c>
      <c r="R28" s="222"/>
      <c r="S28" s="222"/>
      <c r="T28" s="1"/>
    </row>
    <row r="29" spans="3:20" x14ac:dyDescent="0.3">
      <c r="C29" s="628" t="s">
        <v>25</v>
      </c>
      <c r="D29" s="628"/>
      <c r="E29" s="63">
        <f>((SUM(I28:I30)+SUM(M28:M30))/(E27+E28))*100000</f>
        <v>1.1193131894269674</v>
      </c>
      <c r="F29" s="61" t="s">
        <v>26</v>
      </c>
      <c r="G29" s="169"/>
      <c r="H29" s="169"/>
      <c r="I29" s="62">
        <f>SUM(G29:H29)</f>
        <v>0</v>
      </c>
      <c r="J29" s="61" t="s">
        <v>26</v>
      </c>
      <c r="K29" s="169"/>
      <c r="L29" s="169"/>
      <c r="M29" s="62">
        <f>SUM(K29:L29)</f>
        <v>0</v>
      </c>
      <c r="N29" s="235" t="s">
        <v>20</v>
      </c>
      <c r="O29" s="234">
        <v>3</v>
      </c>
      <c r="P29" s="234">
        <v>3</v>
      </c>
      <c r="Q29" s="234">
        <v>6</v>
      </c>
      <c r="R29" s="225"/>
      <c r="S29" s="224"/>
      <c r="T29" s="1"/>
    </row>
    <row r="30" spans="3:20" x14ac:dyDescent="0.3">
      <c r="C30" s="1"/>
      <c r="D30" s="1"/>
      <c r="E30" s="1"/>
      <c r="F30" s="61" t="s">
        <v>27</v>
      </c>
      <c r="G30" s="169"/>
      <c r="H30" s="169"/>
      <c r="I30" s="62">
        <f>SUM(G30:H30)</f>
        <v>0</v>
      </c>
      <c r="J30" s="61" t="s">
        <v>27</v>
      </c>
      <c r="K30" s="169"/>
      <c r="L30" s="169"/>
      <c r="M30" s="62">
        <f>SUM(K30:L30)</f>
        <v>0</v>
      </c>
      <c r="N30" s="235" t="s">
        <v>217</v>
      </c>
      <c r="O30" s="234">
        <v>266146</v>
      </c>
      <c r="P30" s="234">
        <v>176576</v>
      </c>
      <c r="Q30" s="234">
        <v>442722</v>
      </c>
      <c r="R30" s="249"/>
      <c r="S30" s="250"/>
      <c r="T30" s="1"/>
    </row>
    <row r="31" spans="3:20" x14ac:dyDescent="0.3">
      <c r="C31" s="1"/>
      <c r="D31" s="1"/>
      <c r="E31" s="1"/>
      <c r="F31" s="61" t="s">
        <v>28</v>
      </c>
      <c r="G31" s="64">
        <f>(SUM(G28:G30)/E27)*100000</f>
        <v>0</v>
      </c>
      <c r="H31" s="64">
        <f>(SUM(H28:H30)/E27)*100000</f>
        <v>0</v>
      </c>
      <c r="I31" s="65">
        <f>(SUM(I28:I30)/E27)*100000</f>
        <v>0</v>
      </c>
      <c r="J31" s="61" t="s">
        <v>28</v>
      </c>
      <c r="K31" s="324">
        <f>(SUM(K28:K30)/E28)*100000</f>
        <v>1.3902598395640147</v>
      </c>
      <c r="L31" s="64">
        <f>(SUM(L28:L30)/E28)*100000</f>
        <v>1.3902598395640147</v>
      </c>
      <c r="M31" s="65">
        <f>(SUM(M28:M30)/E28)*100000</f>
        <v>2.7805196791280293</v>
      </c>
      <c r="N31" s="235" t="s">
        <v>28</v>
      </c>
      <c r="O31" s="236">
        <v>2.25</v>
      </c>
      <c r="P31" s="236">
        <v>1.7</v>
      </c>
      <c r="Q31" s="236">
        <v>2.0299999999999998</v>
      </c>
      <c r="R31" s="251"/>
      <c r="S31" s="252"/>
      <c r="T31" s="1"/>
    </row>
    <row r="33" spans="4:18" x14ac:dyDescent="0.3">
      <c r="D33" s="190" t="s">
        <v>230</v>
      </c>
      <c r="E33" s="197" t="s">
        <v>32</v>
      </c>
      <c r="F33" s="197" t="s">
        <v>33</v>
      </c>
      <c r="G33" s="197" t="s">
        <v>34</v>
      </c>
      <c r="H33" s="197" t="s">
        <v>35</v>
      </c>
      <c r="I33" s="197" t="s">
        <v>36</v>
      </c>
      <c r="J33" s="197" t="s">
        <v>37</v>
      </c>
      <c r="K33" s="197" t="s">
        <v>38</v>
      </c>
      <c r="L33" s="197" t="s">
        <v>39</v>
      </c>
      <c r="M33" s="197" t="s">
        <v>40</v>
      </c>
      <c r="N33" s="197" t="s">
        <v>41</v>
      </c>
      <c r="O33" s="197" t="s">
        <v>42</v>
      </c>
      <c r="P33" s="197" t="s">
        <v>43</v>
      </c>
      <c r="Q33" s="253" t="s">
        <v>218</v>
      </c>
      <c r="R33" s="253"/>
    </row>
    <row r="34" spans="4:18" x14ac:dyDescent="0.3">
      <c r="D34" s="59" t="s">
        <v>18</v>
      </c>
      <c r="E34" s="59">
        <v>0</v>
      </c>
      <c r="F34" s="59">
        <v>0</v>
      </c>
      <c r="G34" s="59">
        <v>0</v>
      </c>
      <c r="H34" s="59">
        <v>0</v>
      </c>
      <c r="I34" s="59"/>
      <c r="J34" s="59"/>
      <c r="K34" s="59"/>
      <c r="L34" s="59"/>
      <c r="M34" s="59"/>
      <c r="N34" s="59"/>
      <c r="O34" s="59"/>
      <c r="P34" s="59"/>
      <c r="Q34" s="252">
        <v>1.37</v>
      </c>
      <c r="R34" s="250">
        <v>4</v>
      </c>
    </row>
    <row r="35" spans="4:18" ht="15" thickBot="1" x14ac:dyDescent="0.35">
      <c r="D35" s="176" t="s">
        <v>22</v>
      </c>
      <c r="E35" s="176">
        <v>6.32</v>
      </c>
      <c r="F35" s="176">
        <v>3.72</v>
      </c>
      <c r="G35" s="176">
        <v>4.2699999999999996</v>
      </c>
      <c r="H35" s="176">
        <v>3.25</v>
      </c>
      <c r="I35" s="176"/>
      <c r="J35" s="176"/>
      <c r="K35" s="176"/>
      <c r="L35" s="176"/>
      <c r="M35" s="176"/>
      <c r="N35" s="176"/>
      <c r="O35" s="176"/>
      <c r="P35" s="176"/>
      <c r="Q35" s="252">
        <v>1.07</v>
      </c>
      <c r="R35" s="250">
        <v>2</v>
      </c>
    </row>
    <row r="36" spans="4:18" x14ac:dyDescent="0.3"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227"/>
    </row>
    <row r="37" spans="4:18" x14ac:dyDescent="0.3"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</row>
    <row r="38" spans="4:18" x14ac:dyDescent="0.3">
      <c r="D38" s="1"/>
      <c r="E38" s="620" t="s">
        <v>29</v>
      </c>
      <c r="F38" s="620"/>
      <c r="G38" s="620"/>
      <c r="H38" s="620"/>
      <c r="I38" s="620"/>
      <c r="J38" s="620"/>
      <c r="K38" s="620"/>
      <c r="L38" s="620"/>
      <c r="M38" s="620"/>
      <c r="N38" s="620"/>
      <c r="O38" s="620"/>
      <c r="P38" s="620"/>
      <c r="Q38" s="1"/>
      <c r="R38" s="1"/>
    </row>
    <row r="39" spans="4:18" x14ac:dyDescent="0.3">
      <c r="D39" s="1"/>
      <c r="E39" s="189" t="s">
        <v>18</v>
      </c>
      <c r="F39" s="189" t="s">
        <v>5</v>
      </c>
      <c r="G39" s="189" t="s">
        <v>203</v>
      </c>
      <c r="H39" s="189" t="s">
        <v>204</v>
      </c>
      <c r="I39" s="189" t="s">
        <v>22</v>
      </c>
      <c r="J39" s="189" t="s">
        <v>22</v>
      </c>
      <c r="K39" s="189" t="s">
        <v>5</v>
      </c>
      <c r="L39" s="189" t="s">
        <v>203</v>
      </c>
      <c r="M39" s="189" t="s">
        <v>204</v>
      </c>
      <c r="N39" s="190" t="s">
        <v>215</v>
      </c>
      <c r="O39" s="237" t="s">
        <v>18</v>
      </c>
      <c r="P39" s="237" t="s">
        <v>10</v>
      </c>
      <c r="Q39" s="222"/>
      <c r="R39" s="222"/>
    </row>
    <row r="40" spans="4:18" x14ac:dyDescent="0.3">
      <c r="D40" s="66"/>
      <c r="E40" s="169">
        <v>4</v>
      </c>
      <c r="F40" s="169"/>
      <c r="G40" s="169">
        <v>1740</v>
      </c>
      <c r="H40" s="169">
        <v>4</v>
      </c>
      <c r="I40" s="66"/>
      <c r="J40" s="169">
        <v>4</v>
      </c>
      <c r="K40" s="169">
        <v>0.1</v>
      </c>
      <c r="L40" s="169">
        <v>1921</v>
      </c>
      <c r="M40" s="169">
        <v>16</v>
      </c>
      <c r="N40" s="238"/>
      <c r="O40" s="240">
        <v>4</v>
      </c>
      <c r="P40" s="234">
        <v>3.9</v>
      </c>
      <c r="Q40" s="222"/>
      <c r="R40" s="222"/>
    </row>
    <row r="41" spans="4:18" hidden="1" x14ac:dyDescent="0.3">
      <c r="D41" s="66"/>
      <c r="E41" s="169"/>
      <c r="F41" s="169"/>
      <c r="G41" s="169"/>
      <c r="H41" s="169"/>
      <c r="I41" s="66"/>
      <c r="J41" s="169"/>
      <c r="K41" s="169"/>
      <c r="L41" s="169"/>
      <c r="M41" s="169"/>
      <c r="N41" s="238"/>
      <c r="O41" s="234">
        <v>3.1</v>
      </c>
      <c r="P41" s="234">
        <v>0</v>
      </c>
      <c r="Q41" s="222"/>
      <c r="R41" s="222"/>
    </row>
    <row r="42" spans="4:18" x14ac:dyDescent="0.3">
      <c r="D42" s="66" t="s">
        <v>30</v>
      </c>
      <c r="E42" s="169">
        <v>4.5999999999999996</v>
      </c>
      <c r="F42" s="169"/>
      <c r="G42" s="169">
        <v>2850</v>
      </c>
      <c r="H42" s="169">
        <v>633</v>
      </c>
      <c r="I42" s="66"/>
      <c r="J42" s="169">
        <v>4.5</v>
      </c>
      <c r="K42" s="169"/>
      <c r="L42" s="169">
        <v>1749</v>
      </c>
      <c r="M42" s="169">
        <v>379</v>
      </c>
      <c r="N42" s="238" t="s">
        <v>30</v>
      </c>
      <c r="O42" s="234">
        <v>4.4000000000000004</v>
      </c>
      <c r="P42" s="234">
        <v>4.5</v>
      </c>
      <c r="Q42" s="222"/>
      <c r="R42" s="222"/>
    </row>
    <row r="43" spans="4:18" x14ac:dyDescent="0.3"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222"/>
      <c r="R43" s="222"/>
    </row>
    <row r="44" spans="4:18" x14ac:dyDescent="0.3">
      <c r="D44" s="190" t="s">
        <v>223</v>
      </c>
      <c r="E44" s="197" t="s">
        <v>32</v>
      </c>
      <c r="F44" s="197" t="s">
        <v>33</v>
      </c>
      <c r="G44" s="197" t="s">
        <v>34</v>
      </c>
      <c r="H44" s="197" t="s">
        <v>35</v>
      </c>
      <c r="I44" s="197" t="s">
        <v>36</v>
      </c>
      <c r="J44" s="197" t="s">
        <v>37</v>
      </c>
      <c r="K44" s="197" t="s">
        <v>38</v>
      </c>
      <c r="L44" s="197" t="s">
        <v>39</v>
      </c>
      <c r="M44" s="197" t="s">
        <v>40</v>
      </c>
      <c r="N44" s="197" t="s">
        <v>41</v>
      </c>
      <c r="O44" s="197" t="s">
        <v>42</v>
      </c>
      <c r="P44" s="197" t="s">
        <v>43</v>
      </c>
      <c r="Q44" s="253" t="s">
        <v>218</v>
      </c>
      <c r="R44" s="222"/>
    </row>
    <row r="45" spans="4:18" x14ac:dyDescent="0.3">
      <c r="D45" s="59" t="s">
        <v>18</v>
      </c>
      <c r="E45" s="59">
        <v>4</v>
      </c>
      <c r="F45" s="59">
        <v>4</v>
      </c>
      <c r="G45" s="59">
        <v>4</v>
      </c>
      <c r="H45" s="59">
        <v>4</v>
      </c>
      <c r="I45" s="59"/>
      <c r="J45" s="59"/>
      <c r="K45" s="59"/>
      <c r="L45" s="59"/>
      <c r="M45" s="59"/>
      <c r="N45" s="59"/>
      <c r="O45" s="59"/>
      <c r="P45" s="59"/>
      <c r="Q45" s="257">
        <v>4.0999999999999996</v>
      </c>
      <c r="R45" s="222"/>
    </row>
    <row r="46" spans="4:18" ht="15" thickBot="1" x14ac:dyDescent="0.35">
      <c r="D46" s="176" t="s">
        <v>22</v>
      </c>
      <c r="E46" s="176">
        <v>3.9</v>
      </c>
      <c r="F46" s="176">
        <v>3.9</v>
      </c>
      <c r="G46" s="176">
        <v>4</v>
      </c>
      <c r="H46" s="176">
        <v>4</v>
      </c>
      <c r="I46" s="176"/>
      <c r="J46" s="176"/>
      <c r="K46" s="176"/>
      <c r="L46" s="176"/>
      <c r="M46" s="176"/>
      <c r="N46" s="176"/>
      <c r="O46" s="176"/>
      <c r="P46" s="176"/>
      <c r="Q46" s="257">
        <v>4.0999999999999996</v>
      </c>
      <c r="R46" s="222"/>
    </row>
    <row r="47" spans="4:18" x14ac:dyDescent="0.3"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252"/>
      <c r="R47" s="222"/>
    </row>
    <row r="48" spans="4:18" x14ac:dyDescent="0.3">
      <c r="D48" s="190" t="s">
        <v>30</v>
      </c>
      <c r="E48" s="197" t="s">
        <v>32</v>
      </c>
      <c r="F48" s="197" t="s">
        <v>33</v>
      </c>
      <c r="G48" s="197" t="s">
        <v>34</v>
      </c>
      <c r="H48" s="197" t="s">
        <v>35</v>
      </c>
      <c r="I48" s="197" t="s">
        <v>36</v>
      </c>
      <c r="J48" s="197" t="s">
        <v>37</v>
      </c>
      <c r="K48" s="197" t="s">
        <v>38</v>
      </c>
      <c r="L48" s="197" t="s">
        <v>39</v>
      </c>
      <c r="M48" s="197" t="s">
        <v>40</v>
      </c>
      <c r="N48" s="197" t="s">
        <v>41</v>
      </c>
      <c r="O48" s="197" t="s">
        <v>42</v>
      </c>
      <c r="P48" s="197" t="s">
        <v>43</v>
      </c>
      <c r="Q48" s="253" t="s">
        <v>218</v>
      </c>
      <c r="R48" s="222"/>
    </row>
    <row r="49" spans="2:26" x14ac:dyDescent="0.3">
      <c r="B49" s="1"/>
      <c r="C49" s="1"/>
      <c r="D49" s="59" t="s">
        <v>18</v>
      </c>
      <c r="E49" s="59">
        <v>4.5</v>
      </c>
      <c r="F49" s="59">
        <v>4.5999999999999996</v>
      </c>
      <c r="G49" s="59">
        <v>4.5999999999999996</v>
      </c>
      <c r="H49" s="59">
        <v>4.5999999999999996</v>
      </c>
      <c r="I49" s="59"/>
      <c r="J49" s="59"/>
      <c r="K49" s="59"/>
      <c r="L49" s="59"/>
      <c r="M49" s="59"/>
      <c r="N49" s="59"/>
      <c r="O49" s="59"/>
      <c r="P49" s="59">
        <v>4.5999999999999996</v>
      </c>
      <c r="Q49" s="257">
        <v>4.5</v>
      </c>
      <c r="R49" s="222"/>
      <c r="S49" s="221"/>
      <c r="T49" s="1"/>
      <c r="U49" s="1"/>
      <c r="V49" s="1"/>
      <c r="W49" s="1"/>
      <c r="X49" s="1"/>
      <c r="Y49" s="1"/>
      <c r="Z49" s="1"/>
    </row>
    <row r="50" spans="2:26" ht="15" thickBot="1" x14ac:dyDescent="0.35">
      <c r="B50" s="1"/>
      <c r="C50" s="1"/>
      <c r="D50" s="176" t="s">
        <v>22</v>
      </c>
      <c r="E50" s="176">
        <v>4.5</v>
      </c>
      <c r="F50" s="176">
        <v>4.5</v>
      </c>
      <c r="G50" s="176">
        <v>4.5</v>
      </c>
      <c r="H50" s="176">
        <v>4.5999999999999996</v>
      </c>
      <c r="I50" s="176"/>
      <c r="J50" s="176"/>
      <c r="K50" s="176"/>
      <c r="L50" s="176"/>
      <c r="M50" s="176"/>
      <c r="N50" s="176"/>
      <c r="O50" s="176"/>
      <c r="P50" s="176"/>
      <c r="Q50" s="257">
        <v>4.5</v>
      </c>
      <c r="R50" s="222"/>
      <c r="S50" s="221"/>
      <c r="T50" s="1"/>
      <c r="U50" s="1"/>
      <c r="V50" s="1"/>
      <c r="W50" s="1"/>
      <c r="X50" s="1"/>
      <c r="Y50" s="1"/>
      <c r="Z50" s="1"/>
    </row>
    <row r="51" spans="2:26" x14ac:dyDescent="0.3">
      <c r="B51" s="1"/>
      <c r="C51" s="67"/>
      <c r="D51" s="1"/>
      <c r="E51" s="1"/>
      <c r="F51" s="67"/>
      <c r="G51" s="1"/>
      <c r="H51" s="1"/>
      <c r="I51" s="1"/>
      <c r="J51" s="1"/>
      <c r="K51" s="1"/>
      <c r="L51" s="1"/>
      <c r="M51" s="1"/>
      <c r="N51" s="239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2:26" x14ac:dyDescent="0.3">
      <c r="B52" s="68" t="s">
        <v>31</v>
      </c>
      <c r="C52" s="2" t="s">
        <v>32</v>
      </c>
      <c r="D52" s="2" t="s">
        <v>33</v>
      </c>
      <c r="E52" s="2" t="s">
        <v>34</v>
      </c>
      <c r="F52" s="2" t="s">
        <v>35</v>
      </c>
      <c r="G52" s="2" t="s">
        <v>36</v>
      </c>
      <c r="H52" s="2" t="s">
        <v>37</v>
      </c>
      <c r="I52" s="2" t="s">
        <v>38</v>
      </c>
      <c r="J52" s="2" t="s">
        <v>39</v>
      </c>
      <c r="K52" s="2" t="s">
        <v>40</v>
      </c>
      <c r="L52" s="2" t="s">
        <v>41</v>
      </c>
      <c r="M52" s="2" t="s">
        <v>42</v>
      </c>
      <c r="N52" s="2" t="s">
        <v>43</v>
      </c>
      <c r="O52" s="2" t="s">
        <v>1</v>
      </c>
      <c r="P52" s="222" t="s">
        <v>218</v>
      </c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2:26" x14ac:dyDescent="0.3">
      <c r="B53" s="3" t="s">
        <v>44</v>
      </c>
      <c r="C53" s="170">
        <v>4.5</v>
      </c>
      <c r="D53" s="170">
        <v>4.5999999999999996</v>
      </c>
      <c r="E53" s="170">
        <v>4.5999999999999996</v>
      </c>
      <c r="F53" s="170">
        <v>4.5999999999999996</v>
      </c>
      <c r="G53" s="170">
        <v>4.5999999999999996</v>
      </c>
      <c r="H53" s="170"/>
      <c r="I53" s="170"/>
      <c r="J53" s="170"/>
      <c r="K53" s="170"/>
      <c r="L53" s="170"/>
      <c r="M53" s="170"/>
      <c r="N53" s="170"/>
      <c r="O53" s="170">
        <v>4.5999999999999996</v>
      </c>
      <c r="P53" s="222">
        <v>4.5</v>
      </c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2:26" x14ac:dyDescent="0.3">
      <c r="B54" s="3" t="s">
        <v>45</v>
      </c>
      <c r="C54" s="170">
        <v>7.7</v>
      </c>
      <c r="D54" s="170">
        <v>7.3</v>
      </c>
      <c r="E54" s="170">
        <v>6.9</v>
      </c>
      <c r="F54" s="170">
        <v>7.2</v>
      </c>
      <c r="G54" s="170">
        <v>6.9</v>
      </c>
      <c r="H54" s="170"/>
      <c r="I54" s="170"/>
      <c r="J54" s="170"/>
      <c r="K54" s="170"/>
      <c r="L54" s="170"/>
      <c r="M54" s="170"/>
      <c r="N54" s="170"/>
      <c r="O54" s="170">
        <v>7.1</v>
      </c>
      <c r="P54" s="222">
        <v>9</v>
      </c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2:26" x14ac:dyDescent="0.3">
      <c r="B55" s="3" t="s">
        <v>46</v>
      </c>
      <c r="C55" s="172">
        <v>0.65</v>
      </c>
      <c r="D55" s="172">
        <v>0.7</v>
      </c>
      <c r="E55" s="172">
        <v>0.8</v>
      </c>
      <c r="F55" s="172">
        <v>0.82</v>
      </c>
      <c r="G55" s="172">
        <v>0.84</v>
      </c>
      <c r="H55" s="172"/>
      <c r="I55" s="172"/>
      <c r="J55" s="171"/>
      <c r="K55" s="172"/>
      <c r="L55" s="171"/>
      <c r="M55" s="171"/>
      <c r="N55" s="171"/>
      <c r="O55" s="171">
        <v>0.84</v>
      </c>
      <c r="P55" s="223">
        <v>0.7</v>
      </c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2:26" x14ac:dyDescent="0.3">
      <c r="B56" s="192" t="s">
        <v>47</v>
      </c>
      <c r="C56" s="206">
        <v>0.93</v>
      </c>
      <c r="D56" s="206">
        <v>0.93</v>
      </c>
      <c r="E56" s="206">
        <v>0.94</v>
      </c>
      <c r="F56" s="206">
        <v>0.95</v>
      </c>
      <c r="G56" s="206">
        <v>0.95</v>
      </c>
      <c r="H56" s="206"/>
      <c r="I56" s="206"/>
      <c r="J56" s="207"/>
      <c r="K56" s="206"/>
      <c r="L56" s="207"/>
      <c r="M56" s="207"/>
      <c r="N56" s="207"/>
      <c r="O56" s="207">
        <v>0.95</v>
      </c>
      <c r="P56" s="223">
        <v>0.9</v>
      </c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2:26" ht="15" thickBot="1" x14ac:dyDescent="0.35">
      <c r="B57" s="72" t="s">
        <v>208</v>
      </c>
      <c r="C57" s="213">
        <v>1.8</v>
      </c>
      <c r="D57" s="213">
        <v>2</v>
      </c>
      <c r="E57" s="213">
        <v>2.9</v>
      </c>
      <c r="F57" s="213"/>
      <c r="G57" s="214"/>
      <c r="H57" s="213"/>
      <c r="I57" s="213"/>
      <c r="J57" s="213"/>
      <c r="K57" s="213"/>
      <c r="L57" s="213"/>
      <c r="M57" s="213"/>
      <c r="N57" s="213"/>
      <c r="O57" s="215"/>
      <c r="P57" s="222">
        <v>1.5</v>
      </c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2:26" x14ac:dyDescent="0.3">
      <c r="B58" s="73" t="s">
        <v>44</v>
      </c>
      <c r="C58" s="173">
        <v>4.5</v>
      </c>
      <c r="D58" s="173">
        <v>4.5</v>
      </c>
      <c r="E58" s="173">
        <v>4.5</v>
      </c>
      <c r="F58" s="173">
        <v>4.5999999999999996</v>
      </c>
      <c r="G58" s="173">
        <v>4.5</v>
      </c>
      <c r="H58" s="173"/>
      <c r="I58" s="173"/>
      <c r="J58" s="173"/>
      <c r="K58" s="173"/>
      <c r="L58" s="173"/>
      <c r="M58" s="173"/>
      <c r="N58" s="173"/>
      <c r="O58" s="173">
        <v>4.5</v>
      </c>
      <c r="P58" s="222">
        <v>4.5</v>
      </c>
      <c r="Q58" s="1"/>
      <c r="R58" s="1"/>
      <c r="S58" s="1"/>
      <c r="T58" s="1" t="s">
        <v>48</v>
      </c>
      <c r="U58" s="1"/>
      <c r="V58" s="1"/>
      <c r="W58" s="1"/>
      <c r="X58" s="1"/>
      <c r="Y58" s="1"/>
      <c r="Z58" s="1"/>
    </row>
    <row r="59" spans="2:26" x14ac:dyDescent="0.3">
      <c r="B59" s="3" t="s">
        <v>45</v>
      </c>
      <c r="C59" s="170">
        <v>6.1</v>
      </c>
      <c r="D59" s="170">
        <v>6.3</v>
      </c>
      <c r="E59" s="170">
        <v>6.3</v>
      </c>
      <c r="F59" s="170">
        <v>6.7</v>
      </c>
      <c r="G59" s="170">
        <v>7.7</v>
      </c>
      <c r="H59" s="170"/>
      <c r="I59" s="170"/>
      <c r="J59" s="170"/>
      <c r="K59" s="170"/>
      <c r="L59" s="170"/>
      <c r="M59" s="170"/>
      <c r="N59" s="170"/>
      <c r="O59" s="170">
        <v>6.7</v>
      </c>
      <c r="P59" s="222">
        <v>7.5</v>
      </c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2:26" x14ac:dyDescent="0.3">
      <c r="B60" s="3" t="s">
        <v>46</v>
      </c>
      <c r="C60" s="171">
        <v>0.68</v>
      </c>
      <c r="D60" s="171">
        <v>0.74</v>
      </c>
      <c r="E60" s="171">
        <v>0.75</v>
      </c>
      <c r="F60" s="171">
        <v>0.74</v>
      </c>
      <c r="G60" s="171">
        <v>0.81</v>
      </c>
      <c r="H60" s="172"/>
      <c r="I60" s="171"/>
      <c r="J60" s="171"/>
      <c r="K60" s="171"/>
      <c r="L60" s="171"/>
      <c r="M60" s="171"/>
      <c r="N60" s="171"/>
      <c r="O60" s="171">
        <v>0.81</v>
      </c>
      <c r="P60" s="223">
        <v>0.7</v>
      </c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2:26" x14ac:dyDescent="0.3">
      <c r="B61" s="3" t="s">
        <v>47</v>
      </c>
      <c r="C61" s="171">
        <v>0.9</v>
      </c>
      <c r="D61" s="171">
        <v>0.92</v>
      </c>
      <c r="E61" s="171">
        <v>0.92</v>
      </c>
      <c r="F61" s="171">
        <v>0.93</v>
      </c>
      <c r="G61" s="171">
        <v>0.94</v>
      </c>
      <c r="H61" s="172"/>
      <c r="I61" s="171"/>
      <c r="J61" s="171"/>
      <c r="K61" s="171"/>
      <c r="L61" s="171"/>
      <c r="M61" s="171"/>
      <c r="N61" s="171"/>
      <c r="O61" s="171">
        <v>0.94</v>
      </c>
      <c r="P61" s="223">
        <v>0.9</v>
      </c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2:26" x14ac:dyDescent="0.3">
      <c r="B62" s="3" t="s">
        <v>208</v>
      </c>
      <c r="C62" s="216">
        <v>2.6</v>
      </c>
      <c r="D62" s="216">
        <v>2.2999999999999998</v>
      </c>
      <c r="E62" s="216">
        <v>2.5</v>
      </c>
      <c r="F62" s="216"/>
      <c r="G62" s="216"/>
      <c r="H62" s="216"/>
      <c r="I62" s="216"/>
      <c r="J62" s="216"/>
      <c r="K62" s="216"/>
      <c r="L62" s="216"/>
      <c r="M62" s="216"/>
      <c r="N62" s="216"/>
      <c r="O62" s="216"/>
      <c r="P62" s="222">
        <v>1.5</v>
      </c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2:26" x14ac:dyDescent="0.3">
      <c r="B63" s="69"/>
      <c r="C63" s="70"/>
      <c r="D63" s="70"/>
      <c r="E63" s="70"/>
      <c r="F63" s="70"/>
      <c r="G63" s="70"/>
      <c r="H63" s="70"/>
      <c r="I63" s="70"/>
      <c r="J63" s="70"/>
      <c r="K63" s="70"/>
      <c r="L63" s="70"/>
      <c r="M63" s="70"/>
      <c r="N63" s="70"/>
      <c r="O63" s="70"/>
      <c r="P63" s="1"/>
      <c r="Q63" s="1"/>
      <c r="R63" s="1"/>
      <c r="S63" s="1"/>
      <c r="T63" s="1"/>
      <c r="U63" s="1"/>
      <c r="V63" s="1"/>
      <c r="W63" s="1"/>
      <c r="X63" s="1"/>
      <c r="Y63" s="1"/>
      <c r="Z63" s="1" t="s">
        <v>214</v>
      </c>
    </row>
    <row r="64" spans="2:26" ht="21" x14ac:dyDescent="0.4">
      <c r="B64" s="637" t="s">
        <v>49</v>
      </c>
      <c r="C64" s="637"/>
      <c r="D64" s="637"/>
      <c r="E64" s="637"/>
      <c r="F64" s="637"/>
      <c r="G64" s="637"/>
      <c r="H64" s="637"/>
      <c r="I64" s="637"/>
      <c r="J64" s="637"/>
      <c r="K64" s="637"/>
      <c r="L64" s="637"/>
      <c r="M64" s="637"/>
      <c r="N64" s="637"/>
      <c r="O64" s="637"/>
      <c r="P64" s="637"/>
      <c r="Q64" s="637"/>
      <c r="R64" s="637"/>
      <c r="S64" s="637"/>
      <c r="T64" s="637"/>
      <c r="U64" s="637"/>
      <c r="V64" s="637"/>
      <c r="W64" s="637"/>
      <c r="X64" s="637"/>
      <c r="Y64" s="637"/>
      <c r="Z64" s="637"/>
    </row>
    <row r="65" spans="2:26" x14ac:dyDescent="0.3">
      <c r="B65" s="68" t="s">
        <v>18</v>
      </c>
      <c r="C65" s="2" t="s">
        <v>32</v>
      </c>
      <c r="D65" s="2" t="s">
        <v>33</v>
      </c>
      <c r="E65" s="2" t="s">
        <v>34</v>
      </c>
      <c r="F65" s="2" t="s">
        <v>35</v>
      </c>
      <c r="G65" s="2" t="s">
        <v>36</v>
      </c>
      <c r="H65" s="2" t="s">
        <v>37</v>
      </c>
      <c r="I65" s="2" t="s">
        <v>38</v>
      </c>
      <c r="J65" s="2" t="s">
        <v>39</v>
      </c>
      <c r="K65" s="2" t="s">
        <v>40</v>
      </c>
      <c r="L65" s="2" t="s">
        <v>41</v>
      </c>
      <c r="M65" s="2" t="s">
        <v>42</v>
      </c>
      <c r="N65" s="2" t="s">
        <v>43</v>
      </c>
      <c r="O65" s="2" t="s">
        <v>1</v>
      </c>
      <c r="P65" s="1" t="s">
        <v>215</v>
      </c>
      <c r="Q65" s="222" t="s">
        <v>218</v>
      </c>
      <c r="R65" s="1"/>
      <c r="S65" s="1"/>
      <c r="T65" s="1"/>
      <c r="U65" s="1"/>
      <c r="V65" s="1"/>
      <c r="W65" s="1"/>
      <c r="X65" s="1"/>
      <c r="Y65" s="1"/>
      <c r="Z65" s="1"/>
    </row>
    <row r="66" spans="2:26" x14ac:dyDescent="0.3">
      <c r="B66" s="3" t="s">
        <v>50</v>
      </c>
      <c r="C66" s="168">
        <v>218877</v>
      </c>
      <c r="D66" s="168">
        <v>193009</v>
      </c>
      <c r="E66" s="168">
        <v>215546</v>
      </c>
      <c r="F66" s="168">
        <v>212341</v>
      </c>
      <c r="G66" s="168">
        <v>214759</v>
      </c>
      <c r="H66" s="168">
        <v>42541</v>
      </c>
      <c r="I66" s="168"/>
      <c r="J66" s="168"/>
      <c r="K66" s="168"/>
      <c r="L66" s="168"/>
      <c r="M66" s="168"/>
      <c r="N66" s="168"/>
      <c r="O66" s="212">
        <f>SUM(C66:N66)</f>
        <v>1097073</v>
      </c>
      <c r="P66" s="241">
        <v>2268923</v>
      </c>
      <c r="Q66" s="254">
        <f>P66*(1+Q102)</f>
        <v>2631950.6799999997</v>
      </c>
      <c r="R66" s="1"/>
      <c r="S66" s="1"/>
      <c r="T66" s="1"/>
      <c r="U66" s="1"/>
      <c r="V66" s="1"/>
      <c r="W66" s="1"/>
      <c r="X66" s="1"/>
      <c r="Y66" s="1"/>
      <c r="Z66" s="1"/>
    </row>
    <row r="67" spans="2:26" x14ac:dyDescent="0.3">
      <c r="B67" s="3" t="s">
        <v>20</v>
      </c>
      <c r="C67" s="168">
        <v>113002</v>
      </c>
      <c r="D67" s="168">
        <v>97934</v>
      </c>
      <c r="E67" s="168">
        <v>107956</v>
      </c>
      <c r="F67" s="168">
        <v>102436</v>
      </c>
      <c r="G67" s="168">
        <v>106734</v>
      </c>
      <c r="H67" s="168">
        <v>20526</v>
      </c>
      <c r="I67" s="168"/>
      <c r="J67" s="168"/>
      <c r="K67" s="168"/>
      <c r="L67" s="168"/>
      <c r="M67" s="168"/>
      <c r="N67" s="168"/>
      <c r="O67" s="212">
        <f>SUM(C67:N67)</f>
        <v>548588</v>
      </c>
      <c r="P67" s="241">
        <v>1152336</v>
      </c>
      <c r="Q67" s="254">
        <f>P67*(1+Q103)</f>
        <v>1152336</v>
      </c>
      <c r="R67" s="1"/>
      <c r="S67" s="1"/>
      <c r="T67" s="1"/>
      <c r="U67" s="1"/>
      <c r="V67" s="1"/>
      <c r="W67" s="1"/>
      <c r="X67" s="1"/>
      <c r="Y67" s="1"/>
      <c r="Z67" s="1"/>
    </row>
    <row r="68" spans="2:26" x14ac:dyDescent="0.3">
      <c r="B68" s="3" t="s">
        <v>51</v>
      </c>
      <c r="C68" s="43">
        <f t="shared" ref="C68:O68" si="0">C67/C66</f>
        <v>0.51628083352750631</v>
      </c>
      <c r="D68" s="43">
        <f t="shared" si="0"/>
        <v>0.50740639037557833</v>
      </c>
      <c r="E68" s="43">
        <f t="shared" si="0"/>
        <v>0.50084900670854482</v>
      </c>
      <c r="F68" s="43">
        <f t="shared" si="0"/>
        <v>0.48241272293151111</v>
      </c>
      <c r="G68" s="43">
        <f>G67/G66</f>
        <v>0.49699430524448335</v>
      </c>
      <c r="H68" s="43">
        <f t="shared" si="0"/>
        <v>0.48249923603112294</v>
      </c>
      <c r="I68" s="43" t="e">
        <f t="shared" si="0"/>
        <v>#DIV/0!</v>
      </c>
      <c r="J68" s="43" t="e">
        <f t="shared" si="0"/>
        <v>#DIV/0!</v>
      </c>
      <c r="K68" s="43" t="e">
        <f t="shared" si="0"/>
        <v>#DIV/0!</v>
      </c>
      <c r="L68" s="43" t="e">
        <f t="shared" si="0"/>
        <v>#DIV/0!</v>
      </c>
      <c r="M68" s="43" t="e">
        <f t="shared" si="0"/>
        <v>#DIV/0!</v>
      </c>
      <c r="N68" s="43" t="e">
        <f t="shared" si="0"/>
        <v>#DIV/0!</v>
      </c>
      <c r="O68" s="210">
        <f t="shared" si="0"/>
        <v>0.50004694309312148</v>
      </c>
      <c r="P68" s="244">
        <v>0.50787796677101871</v>
      </c>
      <c r="Q68" s="229">
        <f>Q67/Q66</f>
        <v>0.43782583342329201</v>
      </c>
      <c r="R68" s="1"/>
      <c r="S68" s="1"/>
      <c r="T68" s="1"/>
      <c r="U68" s="1"/>
      <c r="V68" s="1"/>
      <c r="W68" s="1"/>
      <c r="X68" s="1"/>
      <c r="Y68" s="1"/>
      <c r="Z68" s="1"/>
    </row>
    <row r="69" spans="2:26" x14ac:dyDescent="0.3">
      <c r="B69" s="3" t="s">
        <v>19</v>
      </c>
      <c r="C69" s="168">
        <f>C66-C67-C73</f>
        <v>105257</v>
      </c>
      <c r="D69" s="168">
        <f>D66-D67-D73</f>
        <v>94478</v>
      </c>
      <c r="E69" s="168">
        <f>E66-E67-E73</f>
        <v>106870</v>
      </c>
      <c r="F69" s="168">
        <f>F66-F67-F73</f>
        <v>109145</v>
      </c>
      <c r="G69" s="168">
        <f>G66-G67</f>
        <v>108025</v>
      </c>
      <c r="H69" s="168">
        <f>H66-H67</f>
        <v>22015</v>
      </c>
      <c r="I69" s="168"/>
      <c r="J69" s="168"/>
      <c r="K69" s="168"/>
      <c r="L69" s="168"/>
      <c r="M69" s="168"/>
      <c r="N69" s="168"/>
      <c r="O69" s="212">
        <f>SUM(C69:N69)</f>
        <v>545790</v>
      </c>
      <c r="P69" s="241">
        <v>1109929</v>
      </c>
      <c r="Q69" s="254">
        <f>Q66-Q67-Q73</f>
        <v>1472290.8799999997</v>
      </c>
      <c r="R69" s="1"/>
      <c r="S69" s="1"/>
      <c r="T69" s="1"/>
      <c r="U69" s="1"/>
      <c r="V69" s="1"/>
      <c r="W69" s="1"/>
      <c r="X69" s="1"/>
      <c r="Y69" s="1"/>
      <c r="Z69" s="1"/>
    </row>
    <row r="70" spans="2:26" x14ac:dyDescent="0.3">
      <c r="B70" s="3" t="s">
        <v>52</v>
      </c>
      <c r="C70" s="43">
        <f t="shared" ref="C70:O70" si="1">C69/C$66</f>
        <v>0.48089566286087621</v>
      </c>
      <c r="D70" s="43">
        <f t="shared" si="1"/>
        <v>0.48950048961447395</v>
      </c>
      <c r="E70" s="43">
        <f t="shared" si="1"/>
        <v>0.49581063902832806</v>
      </c>
      <c r="F70" s="43">
        <f t="shared" si="1"/>
        <v>0.51400812843492305</v>
      </c>
      <c r="G70" s="43">
        <f t="shared" si="1"/>
        <v>0.5030056947555166</v>
      </c>
      <c r="H70" s="43">
        <f t="shared" si="1"/>
        <v>0.51750076396887712</v>
      </c>
      <c r="I70" s="43" t="e">
        <f t="shared" si="1"/>
        <v>#DIV/0!</v>
      </c>
      <c r="J70" s="43" t="e">
        <f t="shared" si="1"/>
        <v>#DIV/0!</v>
      </c>
      <c r="K70" s="43" t="e">
        <f t="shared" si="1"/>
        <v>#DIV/0!</v>
      </c>
      <c r="L70" s="43" t="e">
        <f t="shared" si="1"/>
        <v>#DIV/0!</v>
      </c>
      <c r="M70" s="43" t="e">
        <f t="shared" si="1"/>
        <v>#DIV/0!</v>
      </c>
      <c r="N70" s="43" t="e">
        <f t="shared" si="1"/>
        <v>#DIV/0!</v>
      </c>
      <c r="O70" s="210">
        <f t="shared" si="1"/>
        <v>0.49749652028625257</v>
      </c>
      <c r="P70" s="244">
        <v>0.48918760134213457</v>
      </c>
      <c r="Q70" s="255"/>
      <c r="R70" s="1"/>
      <c r="S70" s="1"/>
      <c r="T70" s="1"/>
      <c r="U70" s="1"/>
      <c r="V70" s="1"/>
      <c r="W70" s="1"/>
      <c r="X70" s="1"/>
      <c r="Y70" s="1"/>
      <c r="Z70" s="1"/>
    </row>
    <row r="71" spans="2:26" hidden="1" x14ac:dyDescent="0.3">
      <c r="B71" s="3" t="s">
        <v>53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209">
        <f>+SUM(C71:N71)</f>
        <v>0</v>
      </c>
      <c r="P71" s="241">
        <v>0</v>
      </c>
      <c r="Q71" s="256"/>
      <c r="R71" s="1"/>
      <c r="S71" s="1"/>
      <c r="T71" s="1"/>
      <c r="U71" s="1"/>
      <c r="V71" s="1"/>
      <c r="W71" s="1"/>
      <c r="X71" s="1"/>
      <c r="Y71" s="1"/>
      <c r="Z71" s="1"/>
    </row>
    <row r="72" spans="2:26" hidden="1" x14ac:dyDescent="0.3">
      <c r="B72" s="3" t="s">
        <v>54</v>
      </c>
      <c r="C72" s="43"/>
      <c r="D72" s="43"/>
      <c r="E72" s="43"/>
      <c r="F72" s="43"/>
      <c r="G72" s="43"/>
      <c r="H72" s="43"/>
      <c r="I72" s="43"/>
      <c r="J72" s="43"/>
      <c r="K72" s="43"/>
      <c r="L72" s="43" t="e">
        <f>L69/L$66</f>
        <v>#DIV/0!</v>
      </c>
      <c r="M72" s="43" t="e">
        <f>M69/M$66</f>
        <v>#DIV/0!</v>
      </c>
      <c r="N72" s="43" t="e">
        <f>N69/N$66</f>
        <v>#DIV/0!</v>
      </c>
      <c r="O72" s="210"/>
      <c r="P72" s="241"/>
      <c r="Q72" s="256"/>
      <c r="R72" s="1"/>
      <c r="S72" s="1"/>
      <c r="T72" s="1"/>
      <c r="U72" s="1"/>
      <c r="V72" s="1"/>
      <c r="W72" s="1"/>
      <c r="X72" s="1"/>
      <c r="Y72" s="1"/>
      <c r="Z72" s="1"/>
    </row>
    <row r="73" spans="2:26" x14ac:dyDescent="0.3">
      <c r="B73" s="3" t="s">
        <v>55</v>
      </c>
      <c r="C73" s="168">
        <v>618</v>
      </c>
      <c r="D73" s="168">
        <v>597</v>
      </c>
      <c r="E73" s="168">
        <v>720</v>
      </c>
      <c r="F73" s="168">
        <v>760</v>
      </c>
      <c r="G73" s="168">
        <v>585</v>
      </c>
      <c r="H73" s="168">
        <v>119</v>
      </c>
      <c r="I73" s="168"/>
      <c r="J73" s="168"/>
      <c r="K73" s="168"/>
      <c r="L73" s="168"/>
      <c r="M73" s="168"/>
      <c r="N73" s="168"/>
      <c r="O73" s="209">
        <f>SUM(C73:N73)</f>
        <v>3399</v>
      </c>
      <c r="P73" s="241">
        <v>6658</v>
      </c>
      <c r="Q73" s="254">
        <f>P73*1.1</f>
        <v>7323.8</v>
      </c>
      <c r="R73" s="1"/>
      <c r="S73" s="1"/>
      <c r="T73" s="1"/>
      <c r="U73" s="1"/>
      <c r="V73" s="1"/>
      <c r="W73" s="1"/>
      <c r="X73" s="1"/>
      <c r="Y73" s="1"/>
      <c r="Z73" s="1"/>
    </row>
    <row r="74" spans="2:26" x14ac:dyDescent="0.3">
      <c r="B74" s="3" t="s">
        <v>56</v>
      </c>
      <c r="C74" s="71">
        <f t="shared" ref="C74:O74" si="2">C73/C$66</f>
        <v>2.8235036116174839E-3</v>
      </c>
      <c r="D74" s="71">
        <f t="shared" si="2"/>
        <v>3.0931200099477228E-3</v>
      </c>
      <c r="E74" s="71">
        <f t="shared" si="2"/>
        <v>3.3403542631271284E-3</v>
      </c>
      <c r="F74" s="71">
        <f t="shared" si="2"/>
        <v>3.5791486335658212E-3</v>
      </c>
      <c r="G74" s="71">
        <f>G73/G$66</f>
        <v>2.7239836281599374E-3</v>
      </c>
      <c r="H74" s="71">
        <f t="shared" si="2"/>
        <v>2.7973014268587951E-3</v>
      </c>
      <c r="I74" s="71" t="e">
        <f t="shared" si="2"/>
        <v>#DIV/0!</v>
      </c>
      <c r="J74" s="71" t="e">
        <f t="shared" si="2"/>
        <v>#DIV/0!</v>
      </c>
      <c r="K74" s="71" t="e">
        <f t="shared" si="2"/>
        <v>#DIV/0!</v>
      </c>
      <c r="L74" s="71" t="e">
        <f t="shared" si="2"/>
        <v>#DIV/0!</v>
      </c>
      <c r="M74" s="71" t="e">
        <f t="shared" si="2"/>
        <v>#DIV/0!</v>
      </c>
      <c r="N74" s="71" t="e">
        <f t="shared" si="2"/>
        <v>#DIV/0!</v>
      </c>
      <c r="O74" s="211">
        <f t="shared" si="2"/>
        <v>3.0982441460139843E-3</v>
      </c>
      <c r="P74" s="244">
        <v>2.9344318868467553E-3</v>
      </c>
      <c r="Q74" s="229">
        <f>Q73/Q66</f>
        <v>2.7826509271822683E-3</v>
      </c>
      <c r="R74" s="1"/>
      <c r="S74" s="1"/>
      <c r="T74" s="1"/>
      <c r="U74" s="1"/>
      <c r="V74" s="1"/>
      <c r="W74" s="1"/>
      <c r="X74" s="1"/>
      <c r="Y74" s="1"/>
      <c r="Z74" s="1"/>
    </row>
    <row r="75" spans="2:26" x14ac:dyDescent="0.3"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256"/>
      <c r="R75" s="1"/>
      <c r="S75" s="1"/>
      <c r="T75" s="1"/>
      <c r="U75" s="1"/>
      <c r="V75" s="1"/>
      <c r="W75" s="1"/>
      <c r="X75" s="1"/>
      <c r="Y75" s="1"/>
      <c r="Z75" s="1"/>
    </row>
    <row r="76" spans="2:26" x14ac:dyDescent="0.3">
      <c r="B76" s="68" t="s">
        <v>22</v>
      </c>
      <c r="C76" s="2" t="s">
        <v>32</v>
      </c>
      <c r="D76" s="2" t="s">
        <v>33</v>
      </c>
      <c r="E76" s="2" t="s">
        <v>34</v>
      </c>
      <c r="F76" s="2" t="s">
        <v>35</v>
      </c>
      <c r="G76" s="2" t="s">
        <v>36</v>
      </c>
      <c r="H76" s="2" t="s">
        <v>37</v>
      </c>
      <c r="I76" s="2" t="s">
        <v>38</v>
      </c>
      <c r="J76" s="2" t="s">
        <v>39</v>
      </c>
      <c r="K76" s="2" t="s">
        <v>40</v>
      </c>
      <c r="L76" s="2" t="s">
        <v>41</v>
      </c>
      <c r="M76" s="2" t="s">
        <v>42</v>
      </c>
      <c r="N76" s="2" t="s">
        <v>43</v>
      </c>
      <c r="O76" s="2" t="s">
        <v>1</v>
      </c>
      <c r="P76" s="1" t="s">
        <v>215</v>
      </c>
      <c r="Q76" s="222" t="s">
        <v>218</v>
      </c>
      <c r="R76" s="1"/>
      <c r="S76" s="1"/>
      <c r="T76" s="1"/>
      <c r="U76" s="1"/>
      <c r="V76" s="1"/>
      <c r="W76" s="1"/>
      <c r="X76" s="1"/>
      <c r="Y76" s="1"/>
      <c r="Z76" s="1"/>
    </row>
    <row r="77" spans="2:26" x14ac:dyDescent="0.3">
      <c r="B77" s="193" t="s">
        <v>50</v>
      </c>
      <c r="C77" s="168">
        <v>138499</v>
      </c>
      <c r="D77" s="168">
        <v>126553</v>
      </c>
      <c r="E77" s="168">
        <v>142121</v>
      </c>
      <c r="F77" s="168">
        <v>144158</v>
      </c>
      <c r="G77" s="168">
        <v>146961</v>
      </c>
      <c r="H77" s="168">
        <v>28624</v>
      </c>
      <c r="I77" s="168"/>
      <c r="J77" s="168"/>
      <c r="K77" s="168"/>
      <c r="L77" s="168"/>
      <c r="M77" s="168"/>
      <c r="N77" s="168"/>
      <c r="O77" s="212">
        <f>SUM(C77:N77)</f>
        <v>726916</v>
      </c>
      <c r="P77" s="241">
        <v>1501867</v>
      </c>
      <c r="Q77" s="254">
        <f>P77*(1+Q112)</f>
        <v>1652053.7000000002</v>
      </c>
      <c r="R77" s="1"/>
      <c r="S77" s="1"/>
      <c r="T77" s="1"/>
      <c r="U77" s="1"/>
      <c r="V77" s="1"/>
      <c r="W77" s="1"/>
      <c r="X77" s="1"/>
      <c r="Y77" s="1"/>
      <c r="Z77" s="1"/>
    </row>
    <row r="78" spans="2:26" x14ac:dyDescent="0.3">
      <c r="B78" s="193" t="s">
        <v>20</v>
      </c>
      <c r="C78" s="168">
        <v>71357</v>
      </c>
      <c r="D78" s="168">
        <v>63709</v>
      </c>
      <c r="E78" s="168">
        <v>69661</v>
      </c>
      <c r="F78" s="168">
        <v>70784</v>
      </c>
      <c r="G78" s="168">
        <v>69620</v>
      </c>
      <c r="H78" s="168">
        <v>13826</v>
      </c>
      <c r="I78" s="168"/>
      <c r="J78" s="168"/>
      <c r="K78" s="168"/>
      <c r="L78" s="168"/>
      <c r="M78" s="168"/>
      <c r="N78" s="168"/>
      <c r="O78" s="212">
        <f>SUM(C78:N78)</f>
        <v>358957</v>
      </c>
      <c r="P78" s="241">
        <v>764674</v>
      </c>
      <c r="Q78" s="254">
        <f>P78*(1+Q113)</f>
        <v>726440.29999999993</v>
      </c>
      <c r="R78" s="1"/>
      <c r="S78" s="1"/>
      <c r="T78" s="1"/>
      <c r="U78" s="1"/>
      <c r="V78" s="1"/>
      <c r="W78" s="1"/>
      <c r="X78" s="1"/>
      <c r="Y78" s="1"/>
      <c r="Z78" s="1"/>
    </row>
    <row r="79" spans="2:26" x14ac:dyDescent="0.3">
      <c r="B79" s="3" t="s">
        <v>51</v>
      </c>
      <c r="C79" s="43">
        <f t="shared" ref="C79:O79" si="3">C78/C77</f>
        <v>0.51521671636618316</v>
      </c>
      <c r="D79" s="43">
        <f t="shared" si="3"/>
        <v>0.5034175404771124</v>
      </c>
      <c r="E79" s="43">
        <f>E78/E77</f>
        <v>0.49015275715763329</v>
      </c>
      <c r="F79" s="43">
        <f t="shared" si="3"/>
        <v>0.49101680101000289</v>
      </c>
      <c r="G79" s="43">
        <f t="shared" si="3"/>
        <v>0.47373112594497863</v>
      </c>
      <c r="H79" s="43">
        <f t="shared" si="3"/>
        <v>0.48302124091671322</v>
      </c>
      <c r="I79" s="43" t="e">
        <f t="shared" si="3"/>
        <v>#DIV/0!</v>
      </c>
      <c r="J79" s="43" t="e">
        <f t="shared" si="3"/>
        <v>#DIV/0!</v>
      </c>
      <c r="K79" s="43" t="e">
        <f t="shared" si="3"/>
        <v>#DIV/0!</v>
      </c>
      <c r="L79" s="43" t="e">
        <f t="shared" si="3"/>
        <v>#DIV/0!</v>
      </c>
      <c r="M79" s="43" t="e">
        <f t="shared" si="3"/>
        <v>#DIV/0!</v>
      </c>
      <c r="N79" s="43" t="e">
        <f t="shared" si="3"/>
        <v>#DIV/0!</v>
      </c>
      <c r="O79" s="210">
        <f t="shared" si="3"/>
        <v>0.49380808786709879</v>
      </c>
      <c r="P79" s="242">
        <v>0.50914894594528015</v>
      </c>
      <c r="Q79" s="229">
        <f>Q78/Q77</f>
        <v>0.43971954422546911</v>
      </c>
      <c r="R79" s="1"/>
      <c r="S79" s="1"/>
      <c r="T79" s="1"/>
      <c r="U79" s="1"/>
      <c r="V79" s="1"/>
      <c r="W79" s="1"/>
      <c r="X79" s="1"/>
      <c r="Y79" s="1"/>
      <c r="Z79" s="1"/>
    </row>
    <row r="80" spans="2:26" x14ac:dyDescent="0.3">
      <c r="B80" s="193" t="s">
        <v>19</v>
      </c>
      <c r="C80" s="168">
        <f>C77-C78-C84</f>
        <v>66406</v>
      </c>
      <c r="D80" s="168">
        <f>D77-D78-D84</f>
        <v>62055</v>
      </c>
      <c r="E80" s="168">
        <f>E77-E78-E84</f>
        <v>71361</v>
      </c>
      <c r="F80" s="168">
        <f>F77-F78-F84</f>
        <v>72431</v>
      </c>
      <c r="G80" s="168">
        <f>G77-G78</f>
        <v>77341</v>
      </c>
      <c r="H80" s="168">
        <f>H77-H78</f>
        <v>14798</v>
      </c>
      <c r="I80" s="168"/>
      <c r="J80" s="168"/>
      <c r="K80" s="168"/>
      <c r="L80" s="168"/>
      <c r="M80" s="168"/>
      <c r="N80" s="168"/>
      <c r="O80" s="212">
        <f>SUM(C80:N80)</f>
        <v>364392</v>
      </c>
      <c r="P80" s="241">
        <v>696711</v>
      </c>
      <c r="Q80" s="254">
        <f>Q77-Q78-Q84</f>
        <v>918241.2000000003</v>
      </c>
      <c r="R80" s="1"/>
      <c r="S80" s="1"/>
      <c r="T80" s="1"/>
      <c r="U80" s="1"/>
      <c r="V80" s="1"/>
      <c r="W80" s="1"/>
      <c r="X80" s="1"/>
      <c r="Y80" s="1"/>
      <c r="Z80" s="1"/>
    </row>
    <row r="81" spans="2:17" x14ac:dyDescent="0.3">
      <c r="B81" s="3" t="s">
        <v>52</v>
      </c>
      <c r="C81" s="43">
        <f>C80/C$77</f>
        <v>0.47946916584235266</v>
      </c>
      <c r="D81" s="43">
        <f t="shared" ref="D81:O81" si="4">D80/D$77</f>
        <v>0.49034791747331158</v>
      </c>
      <c r="E81" s="43">
        <f t="shared" si="4"/>
        <v>0.50211439547990799</v>
      </c>
      <c r="F81" s="43">
        <f>F80/F$77</f>
        <v>0.50244176528531193</v>
      </c>
      <c r="G81" s="43">
        <f t="shared" si="4"/>
        <v>0.52626887405502143</v>
      </c>
      <c r="H81" s="43">
        <f t="shared" si="4"/>
        <v>0.51697875908328672</v>
      </c>
      <c r="I81" s="43" t="e">
        <f t="shared" si="4"/>
        <v>#DIV/0!</v>
      </c>
      <c r="J81" s="43" t="e">
        <f>J80/J$77</f>
        <v>#DIV/0!</v>
      </c>
      <c r="K81" s="43" t="e">
        <f>K80/K$77</f>
        <v>#DIV/0!</v>
      </c>
      <c r="L81" s="43" t="e">
        <f>L80/L$77</f>
        <v>#DIV/0!</v>
      </c>
      <c r="M81" s="43" t="e">
        <f>M80/M$77</f>
        <v>#DIV/0!</v>
      </c>
      <c r="N81" s="43" t="e">
        <f>N80/N$77</f>
        <v>#DIV/0!</v>
      </c>
      <c r="O81" s="210">
        <f t="shared" si="4"/>
        <v>0.50128488023375462</v>
      </c>
      <c r="P81" s="242">
        <v>0.46389660336101668</v>
      </c>
      <c r="Q81" s="256"/>
    </row>
    <row r="82" spans="2:17" hidden="1" x14ac:dyDescent="0.3">
      <c r="B82" s="193" t="s">
        <v>53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209">
        <f>+SUM(C82:N82)</f>
        <v>0</v>
      </c>
      <c r="P82" s="243">
        <v>0</v>
      </c>
      <c r="Q82" s="256"/>
    </row>
    <row r="83" spans="2:17" hidden="1" x14ac:dyDescent="0.3">
      <c r="B83" s="3" t="s">
        <v>54</v>
      </c>
      <c r="C83" s="43"/>
      <c r="D83" s="43"/>
      <c r="E83" s="43"/>
      <c r="F83" s="43"/>
      <c r="G83" s="43"/>
      <c r="H83" s="43"/>
      <c r="I83" s="43"/>
      <c r="J83" s="43"/>
      <c r="K83" s="43"/>
      <c r="L83" s="43" t="e">
        <f>L80/L$66</f>
        <v>#DIV/0!</v>
      </c>
      <c r="M83" s="43" t="e">
        <f>M80/M$66</f>
        <v>#DIV/0!</v>
      </c>
      <c r="N83" s="43" t="e">
        <f>N80/N$66</f>
        <v>#DIV/0!</v>
      </c>
      <c r="O83" s="210"/>
      <c r="P83" s="242"/>
      <c r="Q83" s="256"/>
    </row>
    <row r="84" spans="2:17" x14ac:dyDescent="0.3">
      <c r="B84" s="193" t="s">
        <v>55</v>
      </c>
      <c r="C84" s="168">
        <v>736</v>
      </c>
      <c r="D84" s="168">
        <v>789</v>
      </c>
      <c r="E84" s="168">
        <v>1099</v>
      </c>
      <c r="F84" s="168">
        <v>943</v>
      </c>
      <c r="G84" s="168">
        <v>814</v>
      </c>
      <c r="H84" s="168">
        <v>230</v>
      </c>
      <c r="I84" s="168"/>
      <c r="J84" s="168"/>
      <c r="K84" s="168"/>
      <c r="L84" s="168"/>
      <c r="M84" s="168"/>
      <c r="N84" s="168"/>
      <c r="O84" s="209">
        <f>SUM(C84:N84)</f>
        <v>4611</v>
      </c>
      <c r="P84" s="243">
        <v>6702</v>
      </c>
      <c r="Q84" s="254">
        <f>P84*1.1</f>
        <v>7372.2000000000007</v>
      </c>
    </row>
    <row r="85" spans="2:17" x14ac:dyDescent="0.3">
      <c r="B85" s="3" t="s">
        <v>56</v>
      </c>
      <c r="C85" s="71">
        <f t="shared" ref="C85:O85" si="5">C84/C$66</f>
        <v>3.3626191879457413E-3</v>
      </c>
      <c r="D85" s="71">
        <f t="shared" si="5"/>
        <v>4.0878922744535225E-3</v>
      </c>
      <c r="E85" s="71">
        <f>E84/E$77</f>
        <v>7.7328473624587498E-3</v>
      </c>
      <c r="F85" s="71">
        <f t="shared" si="5"/>
        <v>4.440969949279696E-3</v>
      </c>
      <c r="G85" s="71">
        <f t="shared" si="5"/>
        <v>3.7902951680721182E-3</v>
      </c>
      <c r="H85" s="71">
        <f t="shared" si="5"/>
        <v>5.4065489762817045E-3</v>
      </c>
      <c r="I85" s="71" t="e">
        <f t="shared" si="5"/>
        <v>#DIV/0!</v>
      </c>
      <c r="J85" s="71" t="e">
        <f t="shared" si="5"/>
        <v>#DIV/0!</v>
      </c>
      <c r="K85" s="71" t="e">
        <f t="shared" si="5"/>
        <v>#DIV/0!</v>
      </c>
      <c r="L85" s="71" t="e">
        <f t="shared" si="5"/>
        <v>#DIV/0!</v>
      </c>
      <c r="M85" s="71" t="e">
        <f t="shared" si="5"/>
        <v>#DIV/0!</v>
      </c>
      <c r="N85" s="71" t="e">
        <f t="shared" si="5"/>
        <v>#DIV/0!</v>
      </c>
      <c r="O85" s="211">
        <f t="shared" si="5"/>
        <v>4.2030019880172059E-3</v>
      </c>
      <c r="P85" s="244">
        <v>2.9538243474987913E-3</v>
      </c>
      <c r="Q85" s="229">
        <f>Q84/Q77</f>
        <v>4.4624457425324615E-3</v>
      </c>
    </row>
    <row r="100" spans="2:17" ht="21" x14ac:dyDescent="0.4">
      <c r="B100" s="113" t="s">
        <v>254</v>
      </c>
      <c r="C100" s="113"/>
      <c r="D100" s="113"/>
      <c r="E100" s="113"/>
      <c r="F100" s="113"/>
      <c r="G100" s="113"/>
      <c r="H100" s="113"/>
      <c r="I100" s="113"/>
      <c r="J100" s="113"/>
      <c r="K100" s="113"/>
      <c r="L100" s="113"/>
      <c r="M100" s="113"/>
      <c r="N100" s="113"/>
      <c r="O100" s="113"/>
      <c r="P100" s="1"/>
      <c r="Q100" s="226"/>
    </row>
    <row r="101" spans="2:17" x14ac:dyDescent="0.3">
      <c r="B101" s="68" t="s">
        <v>31</v>
      </c>
      <c r="C101" s="2" t="s">
        <v>57</v>
      </c>
      <c r="D101" s="2" t="s">
        <v>58</v>
      </c>
      <c r="E101" s="2" t="s">
        <v>59</v>
      </c>
      <c r="F101" s="2" t="s">
        <v>2</v>
      </c>
      <c r="G101" s="2" t="s">
        <v>60</v>
      </c>
      <c r="H101" s="2" t="s">
        <v>61</v>
      </c>
      <c r="I101" s="2" t="s">
        <v>62</v>
      </c>
      <c r="J101" s="2" t="s">
        <v>63</v>
      </c>
      <c r="K101" s="2" t="s">
        <v>64</v>
      </c>
      <c r="L101" s="2" t="s">
        <v>65</v>
      </c>
      <c r="M101" s="2" t="s">
        <v>66</v>
      </c>
      <c r="N101" s="2" t="s">
        <v>67</v>
      </c>
      <c r="O101" s="2" t="s">
        <v>14</v>
      </c>
      <c r="P101" s="1" t="s">
        <v>215</v>
      </c>
      <c r="Q101" s="222" t="s">
        <v>218</v>
      </c>
    </row>
    <row r="102" spans="2:17" x14ac:dyDescent="0.3">
      <c r="B102" s="3" t="s">
        <v>219</v>
      </c>
      <c r="C102" s="37">
        <v>0.189</v>
      </c>
      <c r="D102" s="37">
        <v>0.25969999999999999</v>
      </c>
      <c r="E102" s="37">
        <v>0.21970000000000001</v>
      </c>
      <c r="F102" s="37">
        <v>0.23849999999999999</v>
      </c>
      <c r="G102" s="37">
        <v>0.21729999999999999</v>
      </c>
      <c r="H102" s="37">
        <v>0.31480000000000002</v>
      </c>
      <c r="I102" s="37"/>
      <c r="J102" s="37"/>
      <c r="K102" s="37"/>
      <c r="L102" s="37"/>
      <c r="M102" s="37"/>
      <c r="N102" s="37"/>
      <c r="O102" s="37">
        <v>0.21990000000000001</v>
      </c>
      <c r="P102" s="245">
        <v>0.18840000000000001</v>
      </c>
      <c r="Q102" s="223">
        <v>0.16</v>
      </c>
    </row>
    <row r="103" spans="2:17" x14ac:dyDescent="0.3">
      <c r="B103" s="3" t="s">
        <v>20</v>
      </c>
      <c r="C103" s="37">
        <v>-3.5000000000000003E-2</v>
      </c>
      <c r="D103" s="37">
        <v>9.4600000000000004E-2</v>
      </c>
      <c r="E103" s="37">
        <v>0.13469999999999999</v>
      </c>
      <c r="F103" s="37">
        <v>0.21379999999999999</v>
      </c>
      <c r="G103" s="37">
        <v>0.2253</v>
      </c>
      <c r="H103" s="37">
        <v>0.25879999999999997</v>
      </c>
      <c r="I103" s="37"/>
      <c r="J103" s="37"/>
      <c r="K103" s="37"/>
      <c r="L103" s="37"/>
      <c r="M103" s="37"/>
      <c r="N103" s="37"/>
      <c r="O103" s="37">
        <v>0.11219999999999999</v>
      </c>
      <c r="P103" s="245">
        <v>0.10580000000000001</v>
      </c>
      <c r="Q103" s="223">
        <v>0</v>
      </c>
    </row>
    <row r="104" spans="2:17" ht="15" thickBot="1" x14ac:dyDescent="0.35">
      <c r="B104" s="72" t="s">
        <v>253</v>
      </c>
      <c r="C104" s="202">
        <v>0.624</v>
      </c>
      <c r="D104" s="202">
        <v>0.59499999999999997</v>
      </c>
      <c r="E104" s="202">
        <v>0.47299999999999998</v>
      </c>
      <c r="F104" s="202">
        <v>0.48499999999999999</v>
      </c>
      <c r="G104" s="202">
        <v>0.432</v>
      </c>
      <c r="H104" s="202">
        <v>0.59899999999999998</v>
      </c>
      <c r="I104" s="202"/>
      <c r="J104" s="202"/>
      <c r="K104" s="202"/>
      <c r="L104" s="202"/>
      <c r="M104" s="202"/>
      <c r="N104" s="202"/>
      <c r="O104" s="202">
        <v>0.50600000000000001</v>
      </c>
      <c r="P104" s="246">
        <v>0.23599999999999999</v>
      </c>
      <c r="Q104" s="223"/>
    </row>
    <row r="105" spans="2:17" x14ac:dyDescent="0.3">
      <c r="B105" s="73" t="s">
        <v>220</v>
      </c>
      <c r="C105" s="95">
        <v>0.16800000000000001</v>
      </c>
      <c r="D105" s="95">
        <v>0.27189999999999998</v>
      </c>
      <c r="E105" s="95">
        <v>0.24479999999999999</v>
      </c>
      <c r="F105" s="95">
        <v>0.22989999999999999</v>
      </c>
      <c r="G105" s="95">
        <v>0.23319999999999999</v>
      </c>
      <c r="H105" s="95">
        <v>0.39150000000000001</v>
      </c>
      <c r="I105" s="95"/>
      <c r="J105" s="95"/>
      <c r="K105" s="95"/>
      <c r="L105" s="95"/>
      <c r="M105" s="95"/>
      <c r="N105" s="95"/>
      <c r="O105" s="95">
        <v>0.223</v>
      </c>
      <c r="P105" s="247">
        <v>5.2200000000000003E-2</v>
      </c>
      <c r="Q105" s="223">
        <v>0.12</v>
      </c>
    </row>
    <row r="106" spans="2:17" x14ac:dyDescent="0.3">
      <c r="B106" s="3" t="s">
        <v>20</v>
      </c>
      <c r="C106" s="37">
        <v>0.01</v>
      </c>
      <c r="D106" s="37">
        <v>0.16009999999999999</v>
      </c>
      <c r="E106" s="37">
        <v>0.20019999999999999</v>
      </c>
      <c r="F106" s="37">
        <v>0.17499999999999999</v>
      </c>
      <c r="G106" s="37">
        <v>0.127</v>
      </c>
      <c r="H106" s="37">
        <v>0.30549999999999999</v>
      </c>
      <c r="I106" s="37"/>
      <c r="J106" s="37"/>
      <c r="K106" s="37"/>
      <c r="L106" s="37"/>
      <c r="M106" s="37"/>
      <c r="N106" s="37"/>
      <c r="O106" s="37">
        <v>0.1246</v>
      </c>
      <c r="P106" s="245">
        <v>-0.1221</v>
      </c>
      <c r="Q106" s="223">
        <v>0</v>
      </c>
    </row>
    <row r="107" spans="2:17" ht="15" thickBot="1" x14ac:dyDescent="0.35">
      <c r="B107" s="72" t="s">
        <v>207</v>
      </c>
      <c r="C107" s="202">
        <v>0.45800000000000002</v>
      </c>
      <c r="D107" s="202">
        <v>0.51500000000000001</v>
      </c>
      <c r="E107" s="202">
        <v>0.42899999999999999</v>
      </c>
      <c r="F107" s="202">
        <v>0.46400000000000002</v>
      </c>
      <c r="G107" s="202">
        <v>0.33600000000000002</v>
      </c>
      <c r="H107" s="202">
        <v>0.66100000000000003</v>
      </c>
      <c r="I107" s="202"/>
      <c r="J107" s="202"/>
      <c r="K107" s="202"/>
      <c r="L107" s="202"/>
      <c r="M107" s="202"/>
      <c r="N107" s="202"/>
      <c r="O107" s="202">
        <v>0.42499999999999999</v>
      </c>
      <c r="P107" s="246">
        <v>0.16700000000000001</v>
      </c>
      <c r="Q107" s="223"/>
    </row>
    <row r="108" spans="2:17" ht="15" thickBot="1" x14ac:dyDescent="0.35">
      <c r="B108" s="200" t="s">
        <v>206</v>
      </c>
      <c r="C108" s="203">
        <v>0.35299999999999998</v>
      </c>
      <c r="D108" s="203">
        <v>0.31900000000000001</v>
      </c>
      <c r="E108" s="203">
        <v>0.192</v>
      </c>
      <c r="F108" s="203">
        <v>0.27</v>
      </c>
      <c r="G108" s="203">
        <v>0.153</v>
      </c>
      <c r="H108" s="203">
        <v>0.26700000000000002</v>
      </c>
      <c r="I108" s="203"/>
      <c r="J108" s="203"/>
      <c r="K108" s="203"/>
      <c r="L108" s="203"/>
      <c r="M108" s="203"/>
      <c r="N108" s="203"/>
      <c r="O108" s="203">
        <v>0.252</v>
      </c>
      <c r="P108" s="248">
        <v>0.105</v>
      </c>
      <c r="Q108" s="327">
        <v>45061</v>
      </c>
    </row>
    <row r="109" spans="2:17" x14ac:dyDescent="0.3"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226"/>
    </row>
    <row r="110" spans="2:17" ht="21" x14ac:dyDescent="0.4">
      <c r="B110" s="113" t="s">
        <v>255</v>
      </c>
      <c r="C110" s="113"/>
      <c r="D110" s="113"/>
      <c r="E110" s="113"/>
      <c r="F110" s="113"/>
      <c r="G110" s="113"/>
      <c r="H110" s="113"/>
      <c r="I110" s="113"/>
      <c r="J110" s="113"/>
      <c r="K110" s="113"/>
      <c r="L110" s="113"/>
      <c r="M110" s="113"/>
      <c r="N110" s="113"/>
      <c r="O110" s="113"/>
      <c r="P110" s="1"/>
      <c r="Q110" s="226"/>
    </row>
    <row r="111" spans="2:17" x14ac:dyDescent="0.3">
      <c r="B111" s="68" t="s">
        <v>31</v>
      </c>
      <c r="C111" s="2" t="s">
        <v>57</v>
      </c>
      <c r="D111" s="2" t="s">
        <v>58</v>
      </c>
      <c r="E111" s="2" t="s">
        <v>59</v>
      </c>
      <c r="F111" s="2" t="s">
        <v>2</v>
      </c>
      <c r="G111" s="2" t="s">
        <v>60</v>
      </c>
      <c r="H111" s="2" t="s">
        <v>61</v>
      </c>
      <c r="I111" s="2" t="s">
        <v>62</v>
      </c>
      <c r="J111" s="2" t="s">
        <v>63</v>
      </c>
      <c r="K111" s="2" t="s">
        <v>64</v>
      </c>
      <c r="L111" s="2" t="s">
        <v>65</v>
      </c>
      <c r="M111" s="2" t="s">
        <v>66</v>
      </c>
      <c r="N111" s="2" t="s">
        <v>67</v>
      </c>
      <c r="O111" s="2" t="s">
        <v>14</v>
      </c>
      <c r="P111" s="1" t="s">
        <v>215</v>
      </c>
      <c r="Q111" s="222" t="s">
        <v>218</v>
      </c>
    </row>
    <row r="112" spans="2:17" x14ac:dyDescent="0.3">
      <c r="B112" s="3" t="s">
        <v>221</v>
      </c>
      <c r="C112" s="37">
        <v>0.253</v>
      </c>
      <c r="D112" s="37">
        <v>0.2414</v>
      </c>
      <c r="E112" s="37">
        <v>0.1714</v>
      </c>
      <c r="F112" s="37">
        <v>0.20630000000000001</v>
      </c>
      <c r="G112" s="37">
        <v>0.1522</v>
      </c>
      <c r="H112" s="37">
        <v>0.1976</v>
      </c>
      <c r="I112" s="37"/>
      <c r="J112" s="37"/>
      <c r="K112" s="37"/>
      <c r="L112" s="37"/>
      <c r="M112" s="37"/>
      <c r="N112" s="37"/>
      <c r="O112" s="37">
        <v>0.20250000000000001</v>
      </c>
      <c r="P112" s="245">
        <v>6.9500000000000006E-2</v>
      </c>
      <c r="Q112" s="223">
        <v>0.1</v>
      </c>
    </row>
    <row r="113" spans="2:17" x14ac:dyDescent="0.3">
      <c r="B113" s="3" t="s">
        <v>20</v>
      </c>
      <c r="C113" s="37">
        <v>-7.8E-2</v>
      </c>
      <c r="D113" s="37">
        <v>5.5500000000000001E-2</v>
      </c>
      <c r="E113" s="37">
        <v>8.7900000000000006E-2</v>
      </c>
      <c r="F113" s="37">
        <v>0.2208</v>
      </c>
      <c r="G113" s="37">
        <v>0.15559999999999999</v>
      </c>
      <c r="H113" s="37">
        <v>9.9699999999999997E-2</v>
      </c>
      <c r="I113" s="37"/>
      <c r="J113" s="37"/>
      <c r="K113" s="37"/>
      <c r="L113" s="37"/>
      <c r="M113" s="37"/>
      <c r="N113" s="37"/>
      <c r="O113" s="37">
        <v>6.3799999999999996E-2</v>
      </c>
      <c r="P113" s="245">
        <v>-0.16789999999999999</v>
      </c>
      <c r="Q113" s="223">
        <v>-0.05</v>
      </c>
    </row>
    <row r="114" spans="2:17" ht="15" thickBot="1" x14ac:dyDescent="0.35">
      <c r="B114" s="72" t="s">
        <v>253</v>
      </c>
      <c r="C114" s="202">
        <v>0.115</v>
      </c>
      <c r="D114" s="202">
        <v>4.8000000000000001E-2</v>
      </c>
      <c r="E114" s="202">
        <v>7.0000000000000001E-3</v>
      </c>
      <c r="F114" s="202">
        <v>5.7000000000000002E-2</v>
      </c>
      <c r="G114" s="202">
        <v>-2.1999999999999999E-2</v>
      </c>
      <c r="H114" s="202">
        <v>8.3000000000000004E-2</v>
      </c>
      <c r="I114" s="202"/>
      <c r="J114" s="202"/>
      <c r="K114" s="202"/>
      <c r="L114" s="202"/>
      <c r="M114" s="202"/>
      <c r="N114" s="202"/>
      <c r="O114" s="202">
        <v>3.3000000000000002E-2</v>
      </c>
      <c r="P114" s="246">
        <v>-0.121</v>
      </c>
      <c r="Q114" s="222"/>
    </row>
    <row r="115" spans="2:17" x14ac:dyDescent="0.3">
      <c r="B115" s="73" t="s">
        <v>50</v>
      </c>
      <c r="C115" s="95">
        <v>0.20300000000000001</v>
      </c>
      <c r="D115" s="95">
        <v>0.21410000000000001</v>
      </c>
      <c r="E115" s="326">
        <v>0.1925</v>
      </c>
      <c r="F115" s="95">
        <v>0.1925</v>
      </c>
      <c r="G115" s="95">
        <v>0.13519999999999999</v>
      </c>
      <c r="H115" s="95">
        <v>0.20649999999999999</v>
      </c>
      <c r="I115" s="95"/>
      <c r="J115" s="95"/>
      <c r="K115" s="95"/>
      <c r="L115" s="95"/>
      <c r="M115" s="95"/>
      <c r="N115" s="95"/>
      <c r="O115" s="95">
        <v>0.18870000000000001</v>
      </c>
      <c r="P115" s="247">
        <v>0.1336</v>
      </c>
      <c r="Q115" s="223">
        <v>0.06</v>
      </c>
    </row>
    <row r="116" spans="2:17" x14ac:dyDescent="0.3">
      <c r="B116" s="3" t="s">
        <v>20</v>
      </c>
      <c r="C116" s="37">
        <v>-2.7E-2</v>
      </c>
      <c r="D116" s="37">
        <v>9.5899999999999999E-2</v>
      </c>
      <c r="E116" s="95">
        <v>0.1263</v>
      </c>
      <c r="F116" s="37">
        <v>7.2599999999999998E-2</v>
      </c>
      <c r="G116" s="37">
        <v>4.7300000000000002E-2</v>
      </c>
      <c r="H116" s="37">
        <v>0.16300000000000001</v>
      </c>
      <c r="I116" s="37"/>
      <c r="J116" s="37"/>
      <c r="K116" s="37"/>
      <c r="L116" s="37"/>
      <c r="M116" s="37"/>
      <c r="N116" s="37"/>
      <c r="O116" s="37">
        <v>5.67E-2</v>
      </c>
      <c r="P116" s="245">
        <v>-0.16259999999999999</v>
      </c>
      <c r="Q116" s="223">
        <v>-0.05</v>
      </c>
    </row>
    <row r="117" spans="2:17" ht="15" thickBot="1" x14ac:dyDescent="0.35">
      <c r="B117" s="72" t="s">
        <v>207</v>
      </c>
      <c r="C117" s="202">
        <v>-0.01</v>
      </c>
      <c r="D117" s="202">
        <v>-2E-3</v>
      </c>
      <c r="E117" s="202">
        <v>-8.0000000000000002E-3</v>
      </c>
      <c r="F117" s="202">
        <v>5.8999999999999997E-2</v>
      </c>
      <c r="G117" s="202">
        <v>-8.3000000000000004E-2</v>
      </c>
      <c r="H117" s="202">
        <v>0.1</v>
      </c>
      <c r="I117" s="202"/>
      <c r="J117" s="202"/>
      <c r="K117" s="202"/>
      <c r="L117" s="202"/>
      <c r="M117" s="202"/>
      <c r="N117" s="202"/>
      <c r="O117" s="202">
        <v>-1.6E-2</v>
      </c>
      <c r="P117" s="246">
        <v>-0.153</v>
      </c>
      <c r="Q117" s="222"/>
    </row>
    <row r="118" spans="2:17" ht="15" thickBot="1" x14ac:dyDescent="0.35">
      <c r="B118" s="200" t="s">
        <v>206</v>
      </c>
      <c r="C118" s="203">
        <v>-2.8000000000000001E-2</v>
      </c>
      <c r="D118" s="203">
        <v>-3.6999999999999998E-2</v>
      </c>
      <c r="E118" s="203">
        <v>-7.5999999999999998E-2</v>
      </c>
      <c r="F118" s="203">
        <v>-1.2E-2</v>
      </c>
      <c r="G118" s="203">
        <v>0.09</v>
      </c>
      <c r="H118" s="203">
        <v>-3.6999999999999998E-2</v>
      </c>
      <c r="I118" s="203"/>
      <c r="J118" s="203"/>
      <c r="K118" s="203"/>
      <c r="L118" s="203"/>
      <c r="M118" s="203"/>
      <c r="N118" s="203"/>
      <c r="O118" s="203">
        <v>-5.1999999999999998E-2</v>
      </c>
      <c r="P118" s="248">
        <v>-0.13</v>
      </c>
      <c r="Q118" s="222"/>
    </row>
    <row r="119" spans="2:17" x14ac:dyDescent="0.3"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222"/>
    </row>
    <row r="120" spans="2:17" x14ac:dyDescent="0.3"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222"/>
    </row>
    <row r="121" spans="2:17" x14ac:dyDescent="0.3"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222"/>
    </row>
    <row r="122" spans="2:17" x14ac:dyDescent="0.3"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226"/>
    </row>
    <row r="123" spans="2:17" ht="15" thickBot="1" x14ac:dyDescent="0.35">
      <c r="B123" s="1"/>
      <c r="C123" s="68" t="s">
        <v>31</v>
      </c>
      <c r="D123" s="258" t="s">
        <v>57</v>
      </c>
      <c r="E123" s="258" t="s">
        <v>58</v>
      </c>
      <c r="F123" s="258" t="s">
        <v>59</v>
      </c>
      <c r="G123" s="258" t="s">
        <v>2</v>
      </c>
      <c r="H123" s="258" t="s">
        <v>60</v>
      </c>
      <c r="I123" s="258" t="s">
        <v>61</v>
      </c>
      <c r="J123" s="258" t="s">
        <v>62</v>
      </c>
      <c r="K123" s="258" t="s">
        <v>63</v>
      </c>
      <c r="L123" s="258" t="s">
        <v>64</v>
      </c>
      <c r="M123" s="258" t="s">
        <v>65</v>
      </c>
      <c r="N123" s="258" t="s">
        <v>66</v>
      </c>
      <c r="O123" s="258" t="s">
        <v>67</v>
      </c>
      <c r="P123" s="258" t="s">
        <v>14</v>
      </c>
      <c r="Q123" s="1"/>
    </row>
    <row r="124" spans="2:17" ht="15" thickBot="1" x14ac:dyDescent="0.35">
      <c r="B124" s="1"/>
      <c r="C124" s="260" t="s">
        <v>229</v>
      </c>
      <c r="D124" s="261" t="str">
        <f t="shared" ref="D124:O124" si="6">IF(N7&lt;$G6,"OK","NOK")</f>
        <v>NOK</v>
      </c>
      <c r="E124" s="261" t="str">
        <f t="shared" si="6"/>
        <v>NOK</v>
      </c>
      <c r="F124" s="261" t="str">
        <f t="shared" si="6"/>
        <v>NOK</v>
      </c>
      <c r="G124" s="261" t="str">
        <f t="shared" si="6"/>
        <v>NOK</v>
      </c>
      <c r="H124" s="261" t="str">
        <f t="shared" si="6"/>
        <v>OK</v>
      </c>
      <c r="I124" s="261" t="str">
        <f t="shared" si="6"/>
        <v>OK</v>
      </c>
      <c r="J124" s="261" t="str">
        <f t="shared" si="6"/>
        <v>OK</v>
      </c>
      <c r="K124" s="261" t="str">
        <f t="shared" si="6"/>
        <v>OK</v>
      </c>
      <c r="L124" s="261" t="str">
        <f t="shared" si="6"/>
        <v>OK</v>
      </c>
      <c r="M124" s="261" t="str">
        <f t="shared" si="6"/>
        <v>OK</v>
      </c>
      <c r="N124" s="261" t="str">
        <f t="shared" si="6"/>
        <v>OK</v>
      </c>
      <c r="O124" s="261" t="str">
        <f t="shared" si="6"/>
        <v>OK</v>
      </c>
      <c r="P124" s="262">
        <f>+COUNTIF(D124:O124,"OK")</f>
        <v>8</v>
      </c>
      <c r="Q124" s="1"/>
    </row>
    <row r="125" spans="2:17" ht="15" thickBot="1" x14ac:dyDescent="0.35">
      <c r="B125" s="1"/>
      <c r="C125" s="260" t="s">
        <v>222</v>
      </c>
      <c r="D125" s="261" t="str">
        <f t="shared" ref="D125:O125" si="7">IF(D23&gt;$R23,"OK","NOK")</f>
        <v>NOK</v>
      </c>
      <c r="E125" s="261" t="str">
        <f t="shared" si="7"/>
        <v>OK</v>
      </c>
      <c r="F125" s="261" t="str">
        <f>IF(F23&gt;$R23,"OK","NOK")</f>
        <v>OK</v>
      </c>
      <c r="G125" s="261" t="str">
        <f t="shared" si="7"/>
        <v>OK</v>
      </c>
      <c r="H125" s="261" t="str">
        <f t="shared" si="7"/>
        <v>OK</v>
      </c>
      <c r="I125" s="261" t="str">
        <f t="shared" si="7"/>
        <v>NOK</v>
      </c>
      <c r="J125" s="261" t="str">
        <f t="shared" si="7"/>
        <v>NOK</v>
      </c>
      <c r="K125" s="261" t="str">
        <f t="shared" si="7"/>
        <v>NOK</v>
      </c>
      <c r="L125" s="261" t="str">
        <f t="shared" si="7"/>
        <v>NOK</v>
      </c>
      <c r="M125" s="261" t="str">
        <f t="shared" si="7"/>
        <v>NOK</v>
      </c>
      <c r="N125" s="261" t="str">
        <f t="shared" si="7"/>
        <v>NOK</v>
      </c>
      <c r="O125" s="261" t="str">
        <f t="shared" si="7"/>
        <v>NOK</v>
      </c>
      <c r="P125" s="262">
        <f t="shared" ref="P125:P143" si="8">+COUNTIF(D125:O125,"OK")</f>
        <v>4</v>
      </c>
      <c r="Q125" s="1"/>
    </row>
    <row r="126" spans="2:17" ht="15" thickBot="1" x14ac:dyDescent="0.35">
      <c r="B126" s="1"/>
      <c r="C126" s="260" t="s">
        <v>230</v>
      </c>
      <c r="D126" s="261" t="str">
        <f t="shared" ref="D126:O126" si="9">IF(E34&lt;$Q34,"OK","NOK")</f>
        <v>OK</v>
      </c>
      <c r="E126" s="261" t="str">
        <f t="shared" si="9"/>
        <v>OK</v>
      </c>
      <c r="F126" s="261" t="str">
        <f t="shared" si="9"/>
        <v>OK</v>
      </c>
      <c r="G126" s="261" t="str">
        <f t="shared" si="9"/>
        <v>OK</v>
      </c>
      <c r="H126" s="261" t="str">
        <f t="shared" si="9"/>
        <v>OK</v>
      </c>
      <c r="I126" s="261" t="str">
        <f t="shared" si="9"/>
        <v>OK</v>
      </c>
      <c r="J126" s="261" t="str">
        <f t="shared" si="9"/>
        <v>OK</v>
      </c>
      <c r="K126" s="261" t="str">
        <f t="shared" si="9"/>
        <v>OK</v>
      </c>
      <c r="L126" s="261" t="str">
        <f t="shared" si="9"/>
        <v>OK</v>
      </c>
      <c r="M126" s="261" t="str">
        <f t="shared" si="9"/>
        <v>OK</v>
      </c>
      <c r="N126" s="261" t="str">
        <f t="shared" si="9"/>
        <v>OK</v>
      </c>
      <c r="O126" s="261" t="str">
        <f t="shared" si="9"/>
        <v>OK</v>
      </c>
      <c r="P126" s="262">
        <f t="shared" si="8"/>
        <v>12</v>
      </c>
      <c r="Q126" s="1"/>
    </row>
    <row r="127" spans="2:17" x14ac:dyDescent="0.3">
      <c r="B127" s="1"/>
      <c r="C127" s="73" t="s">
        <v>223</v>
      </c>
      <c r="D127" s="232" t="str">
        <f>IF(E45&gt;=$Q45,"OK","NOK")</f>
        <v>NOK</v>
      </c>
      <c r="E127" s="232" t="str">
        <f>IF(F45&gt;=$Q45,"OK","NOK")</f>
        <v>NOK</v>
      </c>
      <c r="F127" s="232" t="str">
        <f t="shared" ref="F127:O127" si="10">IF(G45&gt;=$Q45,"OK","NOK")</f>
        <v>NOK</v>
      </c>
      <c r="G127" s="232" t="str">
        <f t="shared" si="10"/>
        <v>NOK</v>
      </c>
      <c r="H127" s="232" t="str">
        <f t="shared" si="10"/>
        <v>NOK</v>
      </c>
      <c r="I127" s="232" t="str">
        <f t="shared" si="10"/>
        <v>NOK</v>
      </c>
      <c r="J127" s="232" t="str">
        <f t="shared" si="10"/>
        <v>NOK</v>
      </c>
      <c r="K127" s="232" t="str">
        <f t="shared" si="10"/>
        <v>NOK</v>
      </c>
      <c r="L127" s="232" t="str">
        <f t="shared" si="10"/>
        <v>NOK</v>
      </c>
      <c r="M127" s="232" t="str">
        <f t="shared" si="10"/>
        <v>NOK</v>
      </c>
      <c r="N127" s="232" t="str">
        <f t="shared" si="10"/>
        <v>NOK</v>
      </c>
      <c r="O127" s="232" t="str">
        <f t="shared" si="10"/>
        <v>NOK</v>
      </c>
      <c r="P127" s="232">
        <f t="shared" si="8"/>
        <v>0</v>
      </c>
      <c r="Q127" s="1"/>
    </row>
    <row r="128" spans="2:17" x14ac:dyDescent="0.3">
      <c r="B128" s="1"/>
      <c r="C128" s="3" t="s">
        <v>224</v>
      </c>
      <c r="D128" s="2" t="str">
        <f>IF(E49&gt;=$Q49,"OK","NOK")</f>
        <v>OK</v>
      </c>
      <c r="E128" s="2" t="str">
        <f>IF(F49&gt;=$Q49,"OK","NOK")</f>
        <v>OK</v>
      </c>
      <c r="F128" s="2" t="str">
        <f t="shared" ref="F128:O128" si="11">IF(G49&gt;=$Q49,"OK","NOK")</f>
        <v>OK</v>
      </c>
      <c r="G128" s="2" t="str">
        <f t="shared" si="11"/>
        <v>OK</v>
      </c>
      <c r="H128" s="2" t="str">
        <f t="shared" si="11"/>
        <v>NOK</v>
      </c>
      <c r="I128" s="2" t="str">
        <f t="shared" si="11"/>
        <v>NOK</v>
      </c>
      <c r="J128" s="2" t="str">
        <f t="shared" si="11"/>
        <v>NOK</v>
      </c>
      <c r="K128" s="2" t="str">
        <f t="shared" si="11"/>
        <v>NOK</v>
      </c>
      <c r="L128" s="2" t="str">
        <f t="shared" si="11"/>
        <v>NOK</v>
      </c>
      <c r="M128" s="2" t="str">
        <f t="shared" si="11"/>
        <v>NOK</v>
      </c>
      <c r="N128" s="2" t="str">
        <f t="shared" si="11"/>
        <v>NOK</v>
      </c>
      <c r="O128" s="2" t="str">
        <f t="shared" si="11"/>
        <v>OK</v>
      </c>
      <c r="P128" s="2">
        <f t="shared" si="8"/>
        <v>5</v>
      </c>
      <c r="Q128" s="1"/>
    </row>
    <row r="129" spans="3:16" x14ac:dyDescent="0.3">
      <c r="C129" s="3" t="s">
        <v>225</v>
      </c>
      <c r="D129" s="2" t="str">
        <f t="shared" ref="D129:O129" si="12">IF(C54&lt;$P54,"OK","NOK")</f>
        <v>OK</v>
      </c>
      <c r="E129" s="2" t="str">
        <f t="shared" si="12"/>
        <v>OK</v>
      </c>
      <c r="F129" s="2" t="str">
        <f t="shared" si="12"/>
        <v>OK</v>
      </c>
      <c r="G129" s="2" t="str">
        <f t="shared" si="12"/>
        <v>OK</v>
      </c>
      <c r="H129" s="2" t="str">
        <f t="shared" si="12"/>
        <v>OK</v>
      </c>
      <c r="I129" s="2" t="str">
        <f t="shared" si="12"/>
        <v>OK</v>
      </c>
      <c r="J129" s="2" t="str">
        <f t="shared" si="12"/>
        <v>OK</v>
      </c>
      <c r="K129" s="2" t="str">
        <f t="shared" si="12"/>
        <v>OK</v>
      </c>
      <c r="L129" s="2" t="str">
        <f t="shared" si="12"/>
        <v>OK</v>
      </c>
      <c r="M129" s="2" t="str">
        <f t="shared" si="12"/>
        <v>OK</v>
      </c>
      <c r="N129" s="2" t="str">
        <f t="shared" si="12"/>
        <v>OK</v>
      </c>
      <c r="O129" s="2" t="str">
        <f t="shared" si="12"/>
        <v>OK</v>
      </c>
      <c r="P129" s="2">
        <f t="shared" si="8"/>
        <v>12</v>
      </c>
    </row>
    <row r="130" spans="3:16" x14ac:dyDescent="0.3">
      <c r="C130" s="3" t="s">
        <v>226</v>
      </c>
      <c r="D130" s="2" t="str">
        <f>IF(C57&lt;=$P57,"OK","NOK")</f>
        <v>NOK</v>
      </c>
      <c r="E130" s="2" t="str">
        <f t="shared" ref="E130:O130" si="13">IF(D57&lt;=$P57,"OK","NOK")</f>
        <v>NOK</v>
      </c>
      <c r="F130" s="2" t="str">
        <f t="shared" si="13"/>
        <v>NOK</v>
      </c>
      <c r="G130" s="2" t="str">
        <f t="shared" si="13"/>
        <v>OK</v>
      </c>
      <c r="H130" s="2" t="str">
        <f t="shared" si="13"/>
        <v>OK</v>
      </c>
      <c r="I130" s="2" t="str">
        <f t="shared" si="13"/>
        <v>OK</v>
      </c>
      <c r="J130" s="2" t="str">
        <f t="shared" si="13"/>
        <v>OK</v>
      </c>
      <c r="K130" s="2" t="str">
        <f t="shared" si="13"/>
        <v>OK</v>
      </c>
      <c r="L130" s="2" t="str">
        <f t="shared" si="13"/>
        <v>OK</v>
      </c>
      <c r="M130" s="2" t="str">
        <f t="shared" si="13"/>
        <v>OK</v>
      </c>
      <c r="N130" s="2" t="str">
        <f t="shared" si="13"/>
        <v>OK</v>
      </c>
      <c r="O130" s="2" t="str">
        <f t="shared" si="13"/>
        <v>OK</v>
      </c>
      <c r="P130" s="2">
        <f t="shared" si="8"/>
        <v>9</v>
      </c>
    </row>
    <row r="131" spans="3:16" x14ac:dyDescent="0.3">
      <c r="C131" s="3" t="s">
        <v>228</v>
      </c>
      <c r="D131" s="2" t="str">
        <f t="shared" ref="D131:N131" si="14">IF(C102&gt;$Q102,"OK","NOK")</f>
        <v>OK</v>
      </c>
      <c r="E131" s="2" t="str">
        <f t="shared" si="14"/>
        <v>OK</v>
      </c>
      <c r="F131" s="2" t="str">
        <f t="shared" si="14"/>
        <v>OK</v>
      </c>
      <c r="G131" s="2" t="str">
        <f t="shared" si="14"/>
        <v>OK</v>
      </c>
      <c r="H131" s="2" t="str">
        <f t="shared" si="14"/>
        <v>OK</v>
      </c>
      <c r="I131" s="2" t="str">
        <f t="shared" si="14"/>
        <v>OK</v>
      </c>
      <c r="J131" s="2" t="str">
        <f t="shared" si="14"/>
        <v>NOK</v>
      </c>
      <c r="K131" s="2" t="str">
        <f t="shared" si="14"/>
        <v>NOK</v>
      </c>
      <c r="L131" s="2" t="str">
        <f t="shared" si="14"/>
        <v>NOK</v>
      </c>
      <c r="M131" s="2" t="str">
        <f t="shared" si="14"/>
        <v>NOK</v>
      </c>
      <c r="N131" s="2" t="str">
        <f t="shared" si="14"/>
        <v>NOK</v>
      </c>
      <c r="O131" s="2" t="str">
        <f>IF(N102&gt;$Q102,"OK","NOK")</f>
        <v>NOK</v>
      </c>
      <c r="P131" s="2">
        <f t="shared" si="8"/>
        <v>6</v>
      </c>
    </row>
    <row r="132" spans="3:16" ht="15" thickBot="1" x14ac:dyDescent="0.35">
      <c r="C132" s="192" t="s">
        <v>227</v>
      </c>
      <c r="D132" s="2" t="str">
        <f t="shared" ref="D132:O132" si="15">IF(C112&gt;$Q112,"OK","NOK")</f>
        <v>OK</v>
      </c>
      <c r="E132" s="2" t="str">
        <f t="shared" si="15"/>
        <v>OK</v>
      </c>
      <c r="F132" s="2" t="str">
        <f t="shared" si="15"/>
        <v>OK</v>
      </c>
      <c r="G132" s="2" t="str">
        <f t="shared" si="15"/>
        <v>OK</v>
      </c>
      <c r="H132" s="2" t="str">
        <f t="shared" si="15"/>
        <v>OK</v>
      </c>
      <c r="I132" s="2" t="str">
        <f t="shared" si="15"/>
        <v>OK</v>
      </c>
      <c r="J132" s="2" t="str">
        <f t="shared" si="15"/>
        <v>NOK</v>
      </c>
      <c r="K132" s="2" t="str">
        <f t="shared" si="15"/>
        <v>NOK</v>
      </c>
      <c r="L132" s="2" t="str">
        <f t="shared" si="15"/>
        <v>NOK</v>
      </c>
      <c r="M132" s="2" t="str">
        <f t="shared" si="15"/>
        <v>NOK</v>
      </c>
      <c r="N132" s="2" t="str">
        <f t="shared" si="15"/>
        <v>NOK</v>
      </c>
      <c r="O132" s="2" t="str">
        <f t="shared" si="15"/>
        <v>NOK</v>
      </c>
      <c r="P132" s="2">
        <f t="shared" si="8"/>
        <v>6</v>
      </c>
    </row>
    <row r="133" spans="3:16" ht="15" thickBot="1" x14ac:dyDescent="0.35">
      <c r="C133" s="230" t="s">
        <v>231</v>
      </c>
      <c r="D133" s="231">
        <f>COUNTIF(D124:D132,"OK")</f>
        <v>5</v>
      </c>
      <c r="E133" s="231">
        <f t="shared" ref="E133:O133" si="16">COUNTIF(E124:E132,"OK")</f>
        <v>6</v>
      </c>
      <c r="F133" s="231">
        <f t="shared" si="16"/>
        <v>6</v>
      </c>
      <c r="G133" s="231">
        <f t="shared" si="16"/>
        <v>7</v>
      </c>
      <c r="H133" s="231">
        <f t="shared" si="16"/>
        <v>7</v>
      </c>
      <c r="I133" s="231">
        <f t="shared" si="16"/>
        <v>6</v>
      </c>
      <c r="J133" s="231">
        <f t="shared" si="16"/>
        <v>4</v>
      </c>
      <c r="K133" s="231">
        <f t="shared" si="16"/>
        <v>4</v>
      </c>
      <c r="L133" s="231">
        <f t="shared" si="16"/>
        <v>4</v>
      </c>
      <c r="M133" s="231">
        <f t="shared" si="16"/>
        <v>4</v>
      </c>
      <c r="N133" s="231">
        <f t="shared" si="16"/>
        <v>4</v>
      </c>
      <c r="O133" s="231">
        <f t="shared" si="16"/>
        <v>5</v>
      </c>
      <c r="P133" s="231">
        <f>SUM(P124:P132)</f>
        <v>62</v>
      </c>
    </row>
    <row r="134" spans="3:16" ht="15" thickBot="1" x14ac:dyDescent="0.35">
      <c r="C134" s="92" t="s">
        <v>232</v>
      </c>
      <c r="D134" s="259">
        <f>D133/9</f>
        <v>0.55555555555555558</v>
      </c>
      <c r="E134" s="259">
        <f t="shared" ref="E134:O134" si="17">E133/9</f>
        <v>0.66666666666666663</v>
      </c>
      <c r="F134" s="259">
        <f t="shared" si="17"/>
        <v>0.66666666666666663</v>
      </c>
      <c r="G134" s="259">
        <f t="shared" si="17"/>
        <v>0.77777777777777779</v>
      </c>
      <c r="H134" s="259">
        <f t="shared" si="17"/>
        <v>0.77777777777777779</v>
      </c>
      <c r="I134" s="259">
        <f t="shared" si="17"/>
        <v>0.66666666666666663</v>
      </c>
      <c r="J134" s="259">
        <f t="shared" si="17"/>
        <v>0.44444444444444442</v>
      </c>
      <c r="K134" s="259">
        <f t="shared" si="17"/>
        <v>0.44444444444444442</v>
      </c>
      <c r="L134" s="259">
        <f t="shared" si="17"/>
        <v>0.44444444444444442</v>
      </c>
      <c r="M134" s="259">
        <f t="shared" si="17"/>
        <v>0.44444444444444442</v>
      </c>
      <c r="N134" s="259">
        <f t="shared" si="17"/>
        <v>0.44444444444444442</v>
      </c>
      <c r="O134" s="259">
        <f t="shared" si="17"/>
        <v>0.55555555555555558</v>
      </c>
      <c r="P134" s="259">
        <f>P133/108</f>
        <v>0.57407407407407407</v>
      </c>
    </row>
    <row r="135" spans="3:16" x14ac:dyDescent="0.3">
      <c r="C135" s="263" t="s">
        <v>229</v>
      </c>
      <c r="D135" s="264" t="str">
        <f t="shared" ref="D135:O135" si="18">IF(N8&lt;$G11,"OK","NOK")</f>
        <v>OK</v>
      </c>
      <c r="E135" s="264" t="str">
        <f t="shared" si="18"/>
        <v>OK</v>
      </c>
      <c r="F135" s="264" t="str">
        <f t="shared" si="18"/>
        <v>OK</v>
      </c>
      <c r="G135" s="264" t="str">
        <f t="shared" si="18"/>
        <v>NOK</v>
      </c>
      <c r="H135" s="264" t="str">
        <f t="shared" si="18"/>
        <v>OK</v>
      </c>
      <c r="I135" s="264" t="str">
        <f t="shared" si="18"/>
        <v>OK</v>
      </c>
      <c r="J135" s="264" t="str">
        <f t="shared" si="18"/>
        <v>OK</v>
      </c>
      <c r="K135" s="264" t="str">
        <f t="shared" si="18"/>
        <v>OK</v>
      </c>
      <c r="L135" s="264" t="str">
        <f t="shared" si="18"/>
        <v>OK</v>
      </c>
      <c r="M135" s="264" t="str">
        <f t="shared" si="18"/>
        <v>OK</v>
      </c>
      <c r="N135" s="264" t="str">
        <f t="shared" si="18"/>
        <v>OK</v>
      </c>
      <c r="O135" s="264" t="str">
        <f t="shared" si="18"/>
        <v>OK</v>
      </c>
      <c r="P135" s="265">
        <f t="shared" si="8"/>
        <v>11</v>
      </c>
    </row>
    <row r="136" spans="3:16" x14ac:dyDescent="0.3">
      <c r="C136" s="266" t="s">
        <v>222</v>
      </c>
      <c r="D136" s="267" t="str">
        <f t="shared" ref="D136:O136" si="19">IF(D24&gt;$R24,"OK","NOK")</f>
        <v>OK</v>
      </c>
      <c r="E136" s="267" t="str">
        <f t="shared" si="19"/>
        <v>OK</v>
      </c>
      <c r="F136" s="267" t="str">
        <f t="shared" si="19"/>
        <v>OK</v>
      </c>
      <c r="G136" s="267" t="str">
        <f t="shared" si="19"/>
        <v>OK</v>
      </c>
      <c r="H136" s="267" t="str">
        <f t="shared" si="19"/>
        <v>OK</v>
      </c>
      <c r="I136" s="267" t="str">
        <f t="shared" si="19"/>
        <v>NOK</v>
      </c>
      <c r="J136" s="267" t="str">
        <f t="shared" si="19"/>
        <v>NOK</v>
      </c>
      <c r="K136" s="267" t="str">
        <f t="shared" si="19"/>
        <v>NOK</v>
      </c>
      <c r="L136" s="267" t="str">
        <f t="shared" si="19"/>
        <v>NOK</v>
      </c>
      <c r="M136" s="267" t="str">
        <f t="shared" si="19"/>
        <v>NOK</v>
      </c>
      <c r="N136" s="267" t="str">
        <f t="shared" si="19"/>
        <v>NOK</v>
      </c>
      <c r="O136" s="267" t="str">
        <f t="shared" si="19"/>
        <v>NOK</v>
      </c>
      <c r="P136" s="268">
        <f t="shared" si="8"/>
        <v>5</v>
      </c>
    </row>
    <row r="137" spans="3:16" ht="15" thickBot="1" x14ac:dyDescent="0.35">
      <c r="C137" s="269" t="s">
        <v>230</v>
      </c>
      <c r="D137" s="270" t="str">
        <f t="shared" ref="D137:O137" si="20">IF(E35&lt;$Q35,"OK","NOK")</f>
        <v>NOK</v>
      </c>
      <c r="E137" s="270" t="str">
        <f t="shared" si="20"/>
        <v>NOK</v>
      </c>
      <c r="F137" s="270" t="str">
        <f t="shared" si="20"/>
        <v>NOK</v>
      </c>
      <c r="G137" s="270" t="str">
        <f t="shared" si="20"/>
        <v>NOK</v>
      </c>
      <c r="H137" s="270" t="str">
        <f t="shared" si="20"/>
        <v>OK</v>
      </c>
      <c r="I137" s="270" t="str">
        <f t="shared" si="20"/>
        <v>OK</v>
      </c>
      <c r="J137" s="270" t="str">
        <f t="shared" si="20"/>
        <v>OK</v>
      </c>
      <c r="K137" s="270" t="str">
        <f t="shared" si="20"/>
        <v>OK</v>
      </c>
      <c r="L137" s="270" t="str">
        <f t="shared" si="20"/>
        <v>OK</v>
      </c>
      <c r="M137" s="270" t="str">
        <f t="shared" si="20"/>
        <v>OK</v>
      </c>
      <c r="N137" s="270" t="str">
        <f t="shared" si="20"/>
        <v>OK</v>
      </c>
      <c r="O137" s="270" t="str">
        <f t="shared" si="20"/>
        <v>OK</v>
      </c>
      <c r="P137" s="271">
        <f t="shared" si="8"/>
        <v>8</v>
      </c>
    </row>
    <row r="138" spans="3:16" x14ac:dyDescent="0.3">
      <c r="C138" s="73" t="s">
        <v>223</v>
      </c>
      <c r="D138" s="232" t="str">
        <f>IF(E46&gt;=$Q46,"OK","NOK")</f>
        <v>NOK</v>
      </c>
      <c r="E138" s="232" t="str">
        <f t="shared" ref="E138:O138" si="21">IF(F46&gt;=$Q46,"OK","NOK")</f>
        <v>NOK</v>
      </c>
      <c r="F138" s="232" t="str">
        <f t="shared" si="21"/>
        <v>NOK</v>
      </c>
      <c r="G138" s="232" t="str">
        <f t="shared" si="21"/>
        <v>NOK</v>
      </c>
      <c r="H138" s="232" t="str">
        <f t="shared" si="21"/>
        <v>NOK</v>
      </c>
      <c r="I138" s="232" t="str">
        <f t="shared" si="21"/>
        <v>NOK</v>
      </c>
      <c r="J138" s="232" t="str">
        <f t="shared" si="21"/>
        <v>NOK</v>
      </c>
      <c r="K138" s="232" t="str">
        <f t="shared" si="21"/>
        <v>NOK</v>
      </c>
      <c r="L138" s="232" t="str">
        <f t="shared" si="21"/>
        <v>NOK</v>
      </c>
      <c r="M138" s="232" t="str">
        <f t="shared" si="21"/>
        <v>NOK</v>
      </c>
      <c r="N138" s="232" t="str">
        <f t="shared" si="21"/>
        <v>NOK</v>
      </c>
      <c r="O138" s="232" t="str">
        <f t="shared" si="21"/>
        <v>NOK</v>
      </c>
      <c r="P138" s="232">
        <f t="shared" si="8"/>
        <v>0</v>
      </c>
    </row>
    <row r="139" spans="3:16" x14ac:dyDescent="0.3">
      <c r="C139" s="3" t="s">
        <v>224</v>
      </c>
      <c r="D139" s="2" t="str">
        <f>IF(E50&gt;=$Q50,"OK","NOK")</f>
        <v>OK</v>
      </c>
      <c r="E139" s="2" t="str">
        <f t="shared" ref="E139:O139" si="22">IF(F50&gt;=$Q50,"OK","NOK")</f>
        <v>OK</v>
      </c>
      <c r="F139" s="2" t="str">
        <f t="shared" si="22"/>
        <v>OK</v>
      </c>
      <c r="G139" s="2" t="str">
        <f t="shared" si="22"/>
        <v>OK</v>
      </c>
      <c r="H139" s="2" t="str">
        <f t="shared" si="22"/>
        <v>NOK</v>
      </c>
      <c r="I139" s="2" t="str">
        <f t="shared" si="22"/>
        <v>NOK</v>
      </c>
      <c r="J139" s="2" t="str">
        <f t="shared" si="22"/>
        <v>NOK</v>
      </c>
      <c r="K139" s="2" t="str">
        <f t="shared" si="22"/>
        <v>NOK</v>
      </c>
      <c r="L139" s="2" t="str">
        <f t="shared" si="22"/>
        <v>NOK</v>
      </c>
      <c r="M139" s="2" t="str">
        <f t="shared" si="22"/>
        <v>NOK</v>
      </c>
      <c r="N139" s="2" t="str">
        <f t="shared" si="22"/>
        <v>NOK</v>
      </c>
      <c r="O139" s="2" t="str">
        <f t="shared" si="22"/>
        <v>NOK</v>
      </c>
      <c r="P139" s="2">
        <f t="shared" si="8"/>
        <v>4</v>
      </c>
    </row>
    <row r="140" spans="3:16" x14ac:dyDescent="0.3">
      <c r="C140" s="3" t="s">
        <v>225</v>
      </c>
      <c r="D140" s="2" t="str">
        <f t="shared" ref="D140:O140" si="23">IF(C59&lt;$P59,"OK","NOK")</f>
        <v>OK</v>
      </c>
      <c r="E140" s="2" t="str">
        <f t="shared" si="23"/>
        <v>OK</v>
      </c>
      <c r="F140" s="2" t="str">
        <f t="shared" si="23"/>
        <v>OK</v>
      </c>
      <c r="G140" s="2" t="str">
        <f t="shared" si="23"/>
        <v>OK</v>
      </c>
      <c r="H140" s="2" t="str">
        <f t="shared" si="23"/>
        <v>NOK</v>
      </c>
      <c r="I140" s="2" t="str">
        <f t="shared" si="23"/>
        <v>OK</v>
      </c>
      <c r="J140" s="2" t="str">
        <f t="shared" si="23"/>
        <v>OK</v>
      </c>
      <c r="K140" s="2" t="str">
        <f t="shared" si="23"/>
        <v>OK</v>
      </c>
      <c r="L140" s="2" t="str">
        <f t="shared" si="23"/>
        <v>OK</v>
      </c>
      <c r="M140" s="2" t="str">
        <f t="shared" si="23"/>
        <v>OK</v>
      </c>
      <c r="N140" s="2" t="str">
        <f t="shared" si="23"/>
        <v>OK</v>
      </c>
      <c r="O140" s="2" t="str">
        <f t="shared" si="23"/>
        <v>OK</v>
      </c>
      <c r="P140" s="2">
        <f t="shared" si="8"/>
        <v>11</v>
      </c>
    </row>
    <row r="141" spans="3:16" x14ac:dyDescent="0.3">
      <c r="C141" s="3" t="s">
        <v>226</v>
      </c>
      <c r="D141" s="2" t="str">
        <f>IF(C62&lt;=$P62,"OK","NOK")</f>
        <v>NOK</v>
      </c>
      <c r="E141" s="2" t="str">
        <f t="shared" ref="E141:O141" si="24">IF(D62&lt;=$P62,"OK","NOK")</f>
        <v>NOK</v>
      </c>
      <c r="F141" s="2" t="str">
        <f t="shared" si="24"/>
        <v>NOK</v>
      </c>
      <c r="G141" s="2" t="str">
        <f t="shared" si="24"/>
        <v>OK</v>
      </c>
      <c r="H141" s="2" t="str">
        <f t="shared" si="24"/>
        <v>OK</v>
      </c>
      <c r="I141" s="2" t="str">
        <f t="shared" si="24"/>
        <v>OK</v>
      </c>
      <c r="J141" s="2" t="str">
        <f t="shared" si="24"/>
        <v>OK</v>
      </c>
      <c r="K141" s="2" t="str">
        <f t="shared" si="24"/>
        <v>OK</v>
      </c>
      <c r="L141" s="2" t="str">
        <f t="shared" si="24"/>
        <v>OK</v>
      </c>
      <c r="M141" s="2" t="str">
        <f t="shared" si="24"/>
        <v>OK</v>
      </c>
      <c r="N141" s="2" t="str">
        <f t="shared" si="24"/>
        <v>OK</v>
      </c>
      <c r="O141" s="2" t="str">
        <f t="shared" si="24"/>
        <v>OK</v>
      </c>
      <c r="P141" s="2">
        <f t="shared" si="8"/>
        <v>9</v>
      </c>
    </row>
    <row r="142" spans="3:16" x14ac:dyDescent="0.3">
      <c r="C142" s="3" t="s">
        <v>228</v>
      </c>
      <c r="D142" s="2" t="str">
        <f t="shared" ref="D142:O142" si="25">IF(C105&gt;$Q105,"OK","NOK")</f>
        <v>OK</v>
      </c>
      <c r="E142" s="2" t="str">
        <f t="shared" si="25"/>
        <v>OK</v>
      </c>
      <c r="F142" s="2" t="str">
        <f t="shared" si="25"/>
        <v>OK</v>
      </c>
      <c r="G142" s="2" t="str">
        <f t="shared" si="25"/>
        <v>OK</v>
      </c>
      <c r="H142" s="2" t="str">
        <f t="shared" si="25"/>
        <v>OK</v>
      </c>
      <c r="I142" s="2" t="str">
        <f t="shared" si="25"/>
        <v>OK</v>
      </c>
      <c r="J142" s="2" t="str">
        <f t="shared" si="25"/>
        <v>NOK</v>
      </c>
      <c r="K142" s="2" t="str">
        <f t="shared" si="25"/>
        <v>NOK</v>
      </c>
      <c r="L142" s="2" t="str">
        <f t="shared" si="25"/>
        <v>NOK</v>
      </c>
      <c r="M142" s="2" t="str">
        <f t="shared" si="25"/>
        <v>NOK</v>
      </c>
      <c r="N142" s="2" t="str">
        <f t="shared" si="25"/>
        <v>NOK</v>
      </c>
      <c r="O142" s="2" t="str">
        <f t="shared" si="25"/>
        <v>NOK</v>
      </c>
      <c r="P142" s="2">
        <f t="shared" si="8"/>
        <v>6</v>
      </c>
    </row>
    <row r="143" spans="3:16" ht="15" thickBot="1" x14ac:dyDescent="0.35">
      <c r="C143" s="192" t="s">
        <v>227</v>
      </c>
      <c r="D143" s="2" t="str">
        <f t="shared" ref="D143:O143" si="26">IF(C115&gt;$Q115,"OK","NOK")</f>
        <v>OK</v>
      </c>
      <c r="E143" s="2" t="str">
        <f t="shared" si="26"/>
        <v>OK</v>
      </c>
      <c r="F143" s="2" t="str">
        <f>IF(E116&gt;$Q115,"OK","NOK")</f>
        <v>OK</v>
      </c>
      <c r="G143" s="2" t="str">
        <f t="shared" si="26"/>
        <v>OK</v>
      </c>
      <c r="H143" s="2" t="str">
        <f t="shared" si="26"/>
        <v>OK</v>
      </c>
      <c r="I143" s="2" t="str">
        <f t="shared" si="26"/>
        <v>OK</v>
      </c>
      <c r="J143" s="2" t="str">
        <f t="shared" si="26"/>
        <v>NOK</v>
      </c>
      <c r="K143" s="2" t="str">
        <f t="shared" si="26"/>
        <v>NOK</v>
      </c>
      <c r="L143" s="2" t="str">
        <f t="shared" si="26"/>
        <v>NOK</v>
      </c>
      <c r="M143" s="2" t="str">
        <f t="shared" si="26"/>
        <v>NOK</v>
      </c>
      <c r="N143" s="2" t="str">
        <f t="shared" si="26"/>
        <v>NOK</v>
      </c>
      <c r="O143" s="2" t="str">
        <f t="shared" si="26"/>
        <v>NOK</v>
      </c>
      <c r="P143" s="2">
        <f t="shared" si="8"/>
        <v>6</v>
      </c>
    </row>
    <row r="144" spans="3:16" ht="15" thickBot="1" x14ac:dyDescent="0.35">
      <c r="C144" s="230" t="s">
        <v>231</v>
      </c>
      <c r="D144" s="231">
        <f>COUNTIF(D135:D143,"OK")</f>
        <v>6</v>
      </c>
      <c r="E144" s="231">
        <f t="shared" ref="E144:P144" si="27">COUNTIF(E135:E143,"OK")</f>
        <v>6</v>
      </c>
      <c r="F144" s="231">
        <f t="shared" si="27"/>
        <v>6</v>
      </c>
      <c r="G144" s="231">
        <f t="shared" si="27"/>
        <v>6</v>
      </c>
      <c r="H144" s="231">
        <f t="shared" si="27"/>
        <v>6</v>
      </c>
      <c r="I144" s="231">
        <f t="shared" si="27"/>
        <v>6</v>
      </c>
      <c r="J144" s="231">
        <f t="shared" si="27"/>
        <v>4</v>
      </c>
      <c r="K144" s="231">
        <f t="shared" si="27"/>
        <v>4</v>
      </c>
      <c r="L144" s="231">
        <f t="shared" si="27"/>
        <v>4</v>
      </c>
      <c r="M144" s="231">
        <f t="shared" si="27"/>
        <v>4</v>
      </c>
      <c r="N144" s="231">
        <f t="shared" si="27"/>
        <v>4</v>
      </c>
      <c r="O144" s="231">
        <f t="shared" si="27"/>
        <v>4</v>
      </c>
      <c r="P144" s="231">
        <f t="shared" si="27"/>
        <v>0</v>
      </c>
    </row>
    <row r="145" spans="3:16" ht="15" thickBot="1" x14ac:dyDescent="0.35">
      <c r="C145" s="230" t="s">
        <v>232</v>
      </c>
      <c r="D145" s="233">
        <f>D144/9</f>
        <v>0.66666666666666663</v>
      </c>
      <c r="E145" s="233">
        <f t="shared" ref="E145:O145" si="28">E144/9</f>
        <v>0.66666666666666663</v>
      </c>
      <c r="F145" s="233">
        <f t="shared" si="28"/>
        <v>0.66666666666666663</v>
      </c>
      <c r="G145" s="233">
        <f t="shared" si="28"/>
        <v>0.66666666666666663</v>
      </c>
      <c r="H145" s="233">
        <f t="shared" si="28"/>
        <v>0.66666666666666663</v>
      </c>
      <c r="I145" s="233">
        <f t="shared" si="28"/>
        <v>0.66666666666666663</v>
      </c>
      <c r="J145" s="233">
        <f t="shared" si="28"/>
        <v>0.44444444444444442</v>
      </c>
      <c r="K145" s="233">
        <f t="shared" si="28"/>
        <v>0.44444444444444442</v>
      </c>
      <c r="L145" s="233">
        <f t="shared" si="28"/>
        <v>0.44444444444444442</v>
      </c>
      <c r="M145" s="233">
        <f t="shared" si="28"/>
        <v>0.44444444444444442</v>
      </c>
      <c r="N145" s="233">
        <f t="shared" si="28"/>
        <v>0.44444444444444442</v>
      </c>
      <c r="O145" s="233">
        <f t="shared" si="28"/>
        <v>0.44444444444444442</v>
      </c>
      <c r="P145" s="233">
        <f>P144/108</f>
        <v>0</v>
      </c>
    </row>
  </sheetData>
  <mergeCells count="29">
    <mergeCell ref="B64:Z64"/>
    <mergeCell ref="S23:S24"/>
    <mergeCell ref="C26:Q26"/>
    <mergeCell ref="C27:D27"/>
    <mergeCell ref="C28:D28"/>
    <mergeCell ref="C29:D29"/>
    <mergeCell ref="E38:P38"/>
    <mergeCell ref="S18:S20"/>
    <mergeCell ref="T18:T20"/>
    <mergeCell ref="G19:H19"/>
    <mergeCell ref="I19:J19"/>
    <mergeCell ref="O19:P19"/>
    <mergeCell ref="Q19:R19"/>
    <mergeCell ref="G20:H20"/>
    <mergeCell ref="I20:J20"/>
    <mergeCell ref="O20:P20"/>
    <mergeCell ref="Q20:R20"/>
    <mergeCell ref="C17:J17"/>
    <mergeCell ref="K17:R17"/>
    <mergeCell ref="C18:F18"/>
    <mergeCell ref="G18:J18"/>
    <mergeCell ref="K18:N18"/>
    <mergeCell ref="O18:R18"/>
    <mergeCell ref="B15:AA15"/>
    <mergeCell ref="B2:AA2"/>
    <mergeCell ref="B4:F4"/>
    <mergeCell ref="H4:L4"/>
    <mergeCell ref="B9:F9"/>
    <mergeCell ref="H9:L9"/>
  </mergeCells>
  <conditionalFormatting sqref="C77:D79 F77:N79 C81:D85 F81:N85">
    <cfRule type="containsErrors" dxfId="320" priority="5">
      <formula>ISERROR(C77)</formula>
    </cfRule>
  </conditionalFormatting>
  <conditionalFormatting sqref="C52:N80">
    <cfRule type="containsErrors" dxfId="319" priority="2">
      <formula>ISERROR(C52)</formula>
    </cfRule>
  </conditionalFormatting>
  <conditionalFormatting sqref="D124:O133 D134:P134 D135:O143">
    <cfRule type="containsText" dxfId="318" priority="3" operator="containsText" text="NOK">
      <formula>NOT(ISERROR(SEARCH("NOK",D124)))</formula>
    </cfRule>
  </conditionalFormatting>
  <conditionalFormatting sqref="D145:P145">
    <cfRule type="containsText" dxfId="317" priority="4" operator="containsText" text="NOK">
      <formula>NOT(ISERROR(SEARCH("NOK",D145)))</formula>
    </cfRule>
  </conditionalFormatting>
  <conditionalFormatting sqref="E77:E85">
    <cfRule type="containsErrors" dxfId="316" priority="1">
      <formula>ISERROR(E77)</formula>
    </cfRule>
  </conditionalFormatting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A7C07F4-C246-4115-8D66-5C3001835708}">
  <dimension ref="A1:AC167"/>
  <sheetViews>
    <sheetView topLeftCell="A4" zoomScaleNormal="100" workbookViewId="0">
      <selection activeCell="A16" sqref="A16"/>
    </sheetView>
  </sheetViews>
  <sheetFormatPr defaultRowHeight="14.4" x14ac:dyDescent="0.3"/>
  <cols>
    <col min="2" max="2" width="17.5546875" bestFit="1" customWidth="1"/>
    <col min="3" max="3" width="14.33203125" bestFit="1" customWidth="1"/>
    <col min="4" max="4" width="15.33203125" customWidth="1"/>
    <col min="5" max="5" width="13.5546875" bestFit="1" customWidth="1"/>
    <col min="6" max="6" width="13.6640625" customWidth="1"/>
    <col min="7" max="7" width="11" customWidth="1"/>
    <col min="8" max="8" width="10" bestFit="1" customWidth="1"/>
    <col min="9" max="9" width="12.109375" bestFit="1" customWidth="1"/>
    <col min="10" max="12" width="13" customWidth="1"/>
    <col min="13" max="13" width="12.88671875" bestFit="1" customWidth="1"/>
    <col min="14" max="14" width="14.33203125" bestFit="1" customWidth="1"/>
    <col min="15" max="15" width="12.44140625" customWidth="1"/>
    <col min="16" max="16" width="12.33203125" customWidth="1"/>
    <col min="17" max="17" width="13" customWidth="1"/>
    <col min="18" max="18" width="15.6640625" customWidth="1"/>
  </cols>
  <sheetData>
    <row r="1" spans="1:29" x14ac:dyDescent="0.3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</row>
    <row r="2" spans="1:29" ht="21" x14ac:dyDescent="0.4">
      <c r="A2" s="1"/>
      <c r="B2" s="652" t="s">
        <v>68</v>
      </c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  <c r="Q2" s="652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</row>
    <row r="3" spans="1:29" x14ac:dyDescent="0.3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</row>
    <row r="4" spans="1:29" x14ac:dyDescent="0.3">
      <c r="A4" s="1"/>
      <c r="B4" s="648" t="s">
        <v>209</v>
      </c>
      <c r="C4" s="648"/>
      <c r="D4" s="1"/>
      <c r="E4" s="2" t="s">
        <v>57</v>
      </c>
      <c r="F4" s="2" t="s">
        <v>58</v>
      </c>
      <c r="G4" s="2" t="s">
        <v>59</v>
      </c>
      <c r="H4" s="2" t="s">
        <v>2</v>
      </c>
      <c r="I4" s="2" t="s">
        <v>60</v>
      </c>
      <c r="J4" s="2" t="s">
        <v>61</v>
      </c>
      <c r="K4" s="2" t="s">
        <v>62</v>
      </c>
      <c r="L4" s="2" t="s">
        <v>63</v>
      </c>
      <c r="M4" s="2" t="s">
        <v>64</v>
      </c>
      <c r="N4" s="2" t="s">
        <v>65</v>
      </c>
      <c r="O4" s="2" t="s">
        <v>66</v>
      </c>
      <c r="P4" s="2" t="s">
        <v>67</v>
      </c>
      <c r="Q4" s="2" t="s">
        <v>14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</row>
    <row r="5" spans="1:29" ht="18" x14ac:dyDescent="0.35">
      <c r="A5" s="1"/>
      <c r="B5" s="649">
        <v>7.65</v>
      </c>
      <c r="C5" s="650"/>
      <c r="D5" s="3" t="s">
        <v>69</v>
      </c>
      <c r="E5" s="132">
        <f>C34</f>
        <v>288945</v>
      </c>
      <c r="F5" s="132">
        <f>C35</f>
        <v>254163</v>
      </c>
      <c r="G5" s="132">
        <f>C38</f>
        <v>280532</v>
      </c>
      <c r="H5" s="132">
        <f>C41</f>
        <v>247258</v>
      </c>
      <c r="I5" s="132">
        <f>C44</f>
        <v>251597</v>
      </c>
      <c r="J5" s="132">
        <f>C47</f>
        <v>252397</v>
      </c>
      <c r="K5" s="132">
        <f>C50</f>
        <v>268928</v>
      </c>
      <c r="L5" s="132">
        <f>C53</f>
        <v>286413</v>
      </c>
      <c r="M5" s="132">
        <f>C56</f>
        <v>246748</v>
      </c>
      <c r="N5" s="132">
        <f>C59</f>
        <v>236241</v>
      </c>
      <c r="O5" s="132">
        <f>C62</f>
        <v>236196</v>
      </c>
      <c r="P5" s="132">
        <f>C65</f>
        <v>82979</v>
      </c>
      <c r="Q5" s="132">
        <f>C68</f>
        <v>2932397</v>
      </c>
      <c r="R5" s="1"/>
      <c r="S5" s="222" t="s">
        <v>218</v>
      </c>
      <c r="T5" s="1"/>
      <c r="U5" s="1"/>
      <c r="V5" s="1"/>
      <c r="W5" s="1"/>
      <c r="X5" s="1"/>
      <c r="Y5" s="1"/>
      <c r="Z5" s="1"/>
      <c r="AA5" s="1"/>
      <c r="AB5" s="1"/>
      <c r="AC5" s="1"/>
    </row>
    <row r="6" spans="1:29" x14ac:dyDescent="0.3">
      <c r="A6" s="1"/>
      <c r="B6" s="1"/>
      <c r="C6" s="1"/>
      <c r="D6" s="39" t="s">
        <v>70</v>
      </c>
      <c r="E6" s="133">
        <f>N34</f>
        <v>157396</v>
      </c>
      <c r="F6" s="134">
        <f>N35</f>
        <v>143160</v>
      </c>
      <c r="G6" s="134">
        <f>N38</f>
        <v>153168</v>
      </c>
      <c r="H6" s="133">
        <f>N41</f>
        <v>142879</v>
      </c>
      <c r="I6" s="133">
        <f>N44</f>
        <v>161979</v>
      </c>
      <c r="J6" s="133">
        <f>N47</f>
        <v>159094</v>
      </c>
      <c r="K6" s="133">
        <f>N50</f>
        <v>165280</v>
      </c>
      <c r="L6" s="133">
        <f>N53</f>
        <v>168534</v>
      </c>
      <c r="M6" s="133">
        <f>N56</f>
        <v>155517</v>
      </c>
      <c r="N6" s="133">
        <f>N59</f>
        <v>161680</v>
      </c>
      <c r="O6" s="133">
        <f>N62</f>
        <v>162732</v>
      </c>
      <c r="P6" s="133">
        <f>N65</f>
        <v>57366</v>
      </c>
      <c r="Q6" s="133">
        <f>N68</f>
        <v>1788785</v>
      </c>
      <c r="R6" s="1"/>
      <c r="S6" s="228">
        <v>0.1</v>
      </c>
      <c r="T6" s="1"/>
      <c r="U6" s="1"/>
      <c r="V6" s="1"/>
      <c r="W6" s="1"/>
      <c r="X6" s="1"/>
      <c r="Y6" s="1"/>
      <c r="Z6" s="1"/>
      <c r="AA6" s="1"/>
      <c r="AB6" s="1"/>
      <c r="AC6" s="1"/>
    </row>
    <row r="7" spans="1:29" x14ac:dyDescent="0.3">
      <c r="A7" s="1"/>
      <c r="B7" s="1"/>
      <c r="C7" s="1"/>
      <c r="D7" s="3" t="s">
        <v>71</v>
      </c>
      <c r="E7" s="40">
        <f>D34</f>
        <v>3848</v>
      </c>
      <c r="F7" s="40">
        <f>D35</f>
        <v>3436</v>
      </c>
      <c r="G7" s="40">
        <f>D38</f>
        <v>3871</v>
      </c>
      <c r="H7" s="40">
        <f>D41</f>
        <v>3722</v>
      </c>
      <c r="I7" s="40">
        <f>D44</f>
        <v>3362</v>
      </c>
      <c r="J7" s="40">
        <f>+D47</f>
        <v>0</v>
      </c>
      <c r="K7" s="40">
        <f>+D50</f>
        <v>0</v>
      </c>
      <c r="L7" s="40">
        <f>+D53</f>
        <v>0</v>
      </c>
      <c r="M7" s="40">
        <f>+D56</f>
        <v>0</v>
      </c>
      <c r="N7" s="40">
        <f>+D59</f>
        <v>0</v>
      </c>
      <c r="O7" s="40">
        <f>+D62</f>
        <v>0</v>
      </c>
      <c r="P7" s="40">
        <f>+D65</f>
        <v>0</v>
      </c>
      <c r="Q7" s="40">
        <f>+D68</f>
        <v>18239</v>
      </c>
      <c r="R7" s="1"/>
      <c r="S7" s="228">
        <v>0.105</v>
      </c>
      <c r="T7" s="1"/>
      <c r="U7" s="1"/>
      <c r="V7" s="1"/>
      <c r="W7" s="1"/>
      <c r="X7" s="1"/>
      <c r="Y7" s="1"/>
      <c r="Z7" s="1"/>
      <c r="AA7" s="1"/>
      <c r="AB7" s="1"/>
      <c r="AC7" s="1"/>
    </row>
    <row r="8" spans="1:29" x14ac:dyDescent="0.3">
      <c r="A8" s="1"/>
      <c r="B8" s="1"/>
      <c r="C8" s="1"/>
      <c r="D8" s="39" t="s">
        <v>72</v>
      </c>
      <c r="E8" s="136">
        <f>O34</f>
        <v>2500</v>
      </c>
      <c r="F8" s="135">
        <f>O35</f>
        <v>2330</v>
      </c>
      <c r="G8" s="135">
        <f>O38</f>
        <v>2444</v>
      </c>
      <c r="H8" s="135">
        <f>O41</f>
        <v>2535</v>
      </c>
      <c r="I8" s="135">
        <f>O44</f>
        <v>2489</v>
      </c>
      <c r="J8" s="135">
        <f>O47</f>
        <v>0</v>
      </c>
      <c r="K8" s="135">
        <f>O50</f>
        <v>0</v>
      </c>
      <c r="L8" s="135">
        <f>O53</f>
        <v>0</v>
      </c>
      <c r="M8" s="135">
        <f>O56</f>
        <v>0</v>
      </c>
      <c r="N8" s="135">
        <f>O59</f>
        <v>0</v>
      </c>
      <c r="O8" s="135">
        <f>O62</f>
        <v>0</v>
      </c>
      <c r="P8" s="135">
        <f>O65</f>
        <v>0</v>
      </c>
      <c r="Q8" s="136">
        <f>O68</f>
        <v>12298</v>
      </c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</row>
    <row r="9" spans="1:29" x14ac:dyDescent="0.3">
      <c r="A9" s="1"/>
      <c r="B9" s="1"/>
      <c r="C9" s="1"/>
      <c r="D9" s="3" t="s">
        <v>73</v>
      </c>
      <c r="E9" s="4">
        <f>E5/E7</f>
        <v>75.089656964656967</v>
      </c>
      <c r="F9" s="4">
        <f t="shared" ref="F9:Q10" si="0">F5/F7</f>
        <v>73.970605355064023</v>
      </c>
      <c r="G9" s="4">
        <f t="shared" si="0"/>
        <v>72.470162748643759</v>
      </c>
      <c r="H9" s="4">
        <f t="shared" si="0"/>
        <v>66.431488447071473</v>
      </c>
      <c r="I9" s="4">
        <f t="shared" si="0"/>
        <v>74.835514574657935</v>
      </c>
      <c r="J9" s="4" t="e">
        <f t="shared" si="0"/>
        <v>#DIV/0!</v>
      </c>
      <c r="K9" s="4" t="e">
        <f t="shared" si="0"/>
        <v>#DIV/0!</v>
      </c>
      <c r="L9" s="4" t="e">
        <f t="shared" si="0"/>
        <v>#DIV/0!</v>
      </c>
      <c r="M9" s="4" t="e">
        <f t="shared" si="0"/>
        <v>#DIV/0!</v>
      </c>
      <c r="N9" s="4" t="e">
        <f t="shared" si="0"/>
        <v>#DIV/0!</v>
      </c>
      <c r="O9" s="4" t="e">
        <f t="shared" si="0"/>
        <v>#DIV/0!</v>
      </c>
      <c r="P9" s="4" t="e">
        <f t="shared" si="0"/>
        <v>#DIV/0!</v>
      </c>
      <c r="Q9" s="4">
        <f>Q5/Q7</f>
        <v>160.77619387027798</v>
      </c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</row>
    <row r="10" spans="1:29" x14ac:dyDescent="0.3">
      <c r="A10" s="1"/>
      <c r="B10" s="1"/>
      <c r="C10" s="1"/>
      <c r="D10" s="39" t="s">
        <v>74</v>
      </c>
      <c r="E10" s="138">
        <f>E6/E8</f>
        <v>62.958399999999997</v>
      </c>
      <c r="F10" s="138">
        <f t="shared" si="0"/>
        <v>61.442060085836907</v>
      </c>
      <c r="G10" s="138">
        <f t="shared" si="0"/>
        <v>62.671031096563013</v>
      </c>
      <c r="H10" s="137">
        <f t="shared" si="0"/>
        <v>56.362524654832349</v>
      </c>
      <c r="I10" s="137">
        <f t="shared" si="0"/>
        <v>65.07794294897549</v>
      </c>
      <c r="J10" s="137" t="e">
        <f t="shared" si="0"/>
        <v>#DIV/0!</v>
      </c>
      <c r="K10" s="137" t="e">
        <f t="shared" si="0"/>
        <v>#DIV/0!</v>
      </c>
      <c r="L10" s="137" t="e">
        <f t="shared" si="0"/>
        <v>#DIV/0!</v>
      </c>
      <c r="M10" s="137" t="e">
        <f t="shared" si="0"/>
        <v>#DIV/0!</v>
      </c>
      <c r="N10" s="137" t="e">
        <f t="shared" si="0"/>
        <v>#DIV/0!</v>
      </c>
      <c r="O10" s="137" t="e">
        <f t="shared" si="0"/>
        <v>#DIV/0!</v>
      </c>
      <c r="P10" s="137" t="e">
        <f t="shared" si="0"/>
        <v>#DIV/0!</v>
      </c>
      <c r="Q10" s="137">
        <f t="shared" si="0"/>
        <v>145.45332574402343</v>
      </c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</row>
    <row r="11" spans="1:29" x14ac:dyDescent="0.3">
      <c r="A11" s="1"/>
      <c r="B11" s="1"/>
      <c r="C11" s="1"/>
      <c r="D11" s="3" t="s">
        <v>75</v>
      </c>
      <c r="E11" s="76">
        <f>F34</f>
        <v>0.1123</v>
      </c>
      <c r="F11" s="76">
        <f>F35</f>
        <v>0.11070000000000001</v>
      </c>
      <c r="G11" s="76">
        <f>F38</f>
        <v>0.1142</v>
      </c>
      <c r="H11" s="76">
        <f>F41</f>
        <v>0.10680000000000001</v>
      </c>
      <c r="I11" s="76">
        <f>F44</f>
        <v>0.10639999999999999</v>
      </c>
      <c r="J11" s="76">
        <f>F47</f>
        <v>0</v>
      </c>
      <c r="K11" s="76">
        <f>F50</f>
        <v>0</v>
      </c>
      <c r="L11" s="76">
        <f>F53</f>
        <v>0</v>
      </c>
      <c r="M11" s="76">
        <f>F56</f>
        <v>0</v>
      </c>
      <c r="N11" s="76">
        <f>F59</f>
        <v>0</v>
      </c>
      <c r="O11" s="76">
        <f>F62</f>
        <v>0</v>
      </c>
      <c r="P11" s="76">
        <f>F65</f>
        <v>0</v>
      </c>
      <c r="Q11" s="76"/>
      <c r="R11" s="1" t="s">
        <v>214</v>
      </c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</row>
    <row r="12" spans="1:29" x14ac:dyDescent="0.3">
      <c r="A12" s="1"/>
      <c r="B12" s="1"/>
      <c r="C12" s="1"/>
      <c r="D12" s="39" t="s">
        <v>76</v>
      </c>
      <c r="E12" s="41">
        <f>Q34</f>
        <v>0.12039999999999999</v>
      </c>
      <c r="F12" s="41">
        <f>Q35</f>
        <v>0.12540000000000001</v>
      </c>
      <c r="G12" s="41">
        <f>Q38</f>
        <v>0.11840000000000001</v>
      </c>
      <c r="H12" s="41">
        <f>Q41</f>
        <v>0.13020000000000001</v>
      </c>
      <c r="I12" s="41">
        <f>Q44</f>
        <v>0.12180000000000001</v>
      </c>
      <c r="J12" s="41">
        <f>Q47</f>
        <v>0</v>
      </c>
      <c r="K12" s="41">
        <f>Q50</f>
        <v>0</v>
      </c>
      <c r="L12" s="41">
        <f>Q53</f>
        <v>0</v>
      </c>
      <c r="M12" s="41">
        <f>Q56</f>
        <v>0</v>
      </c>
      <c r="N12" s="41">
        <f>Q59</f>
        <v>0</v>
      </c>
      <c r="O12" s="41">
        <f>Q62</f>
        <v>0</v>
      </c>
      <c r="P12" s="41">
        <f>Q65</f>
        <v>0</v>
      </c>
      <c r="Q12" s="4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</row>
    <row r="13" spans="1:29" x14ac:dyDescent="0.3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</row>
    <row r="14" spans="1:29" x14ac:dyDescent="0.3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</row>
    <row r="15" spans="1:29" x14ac:dyDescent="0.3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</row>
    <row r="16" spans="1:29" x14ac:dyDescent="0.3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</row>
    <row r="17" spans="1:29" x14ac:dyDescent="0.3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</row>
    <row r="18" spans="1:29" x14ac:dyDescent="0.3">
      <c r="A18" s="1"/>
      <c r="B18" s="1"/>
      <c r="C18" s="1"/>
      <c r="D18" s="1"/>
      <c r="E18" s="1"/>
      <c r="F18" s="1"/>
      <c r="G18" s="1"/>
      <c r="H18" s="1">
        <v>60</v>
      </c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</row>
    <row r="19" spans="1:29" x14ac:dyDescent="0.3">
      <c r="A19" s="1"/>
      <c r="B19" s="1"/>
      <c r="C19" s="1"/>
      <c r="D19" s="1"/>
      <c r="E19" s="1"/>
      <c r="F19" s="1"/>
      <c r="G19" s="1"/>
      <c r="H19" s="1">
        <v>55</v>
      </c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</row>
    <row r="20" spans="1:29" x14ac:dyDescent="0.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</row>
    <row r="21" spans="1:29" x14ac:dyDescent="0.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</row>
    <row r="22" spans="1:29" x14ac:dyDescent="0.3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</row>
    <row r="23" spans="1:29" x14ac:dyDescent="0.3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</row>
    <row r="24" spans="1:29" x14ac:dyDescent="0.3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</row>
    <row r="25" spans="1:29" x14ac:dyDescent="0.3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</row>
    <row r="26" spans="1:29" x14ac:dyDescent="0.3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</row>
    <row r="27" spans="1:29" x14ac:dyDescent="0.3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</row>
    <row r="28" spans="1:29" x14ac:dyDescent="0.3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</row>
    <row r="29" spans="1:29" x14ac:dyDescent="0.3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</row>
    <row r="30" spans="1:29" ht="21" x14ac:dyDescent="0.4">
      <c r="A30" s="1"/>
      <c r="B30" s="652" t="s">
        <v>77</v>
      </c>
      <c r="C30" s="652"/>
      <c r="D30" s="652"/>
      <c r="E30" s="652"/>
      <c r="F30" s="652"/>
      <c r="G30" s="652"/>
      <c r="H30" s="652"/>
      <c r="I30" s="652"/>
      <c r="J30" s="652"/>
      <c r="K30" s="652"/>
      <c r="L30" s="652"/>
      <c r="M30" s="652"/>
      <c r="N30" s="652"/>
      <c r="O30" s="652"/>
      <c r="P30" s="652"/>
      <c r="Q30" s="652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</row>
    <row r="31" spans="1:29" x14ac:dyDescent="0.3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</row>
    <row r="32" spans="1:29" x14ac:dyDescent="0.3">
      <c r="A32" s="1"/>
      <c r="B32" s="651" t="s">
        <v>78</v>
      </c>
      <c r="C32" s="651"/>
      <c r="D32" s="651"/>
      <c r="E32" s="651"/>
      <c r="F32" s="651"/>
      <c r="G32" s="190"/>
      <c r="H32" s="190"/>
      <c r="I32" s="190"/>
      <c r="J32" s="190"/>
      <c r="K32" s="190"/>
      <c r="L32" s="68"/>
      <c r="M32" s="651" t="s">
        <v>79</v>
      </c>
      <c r="N32" s="651"/>
      <c r="O32" s="651"/>
      <c r="P32" s="651"/>
      <c r="Q32" s="65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</row>
    <row r="33" spans="1:29" ht="15" thickBot="1" x14ac:dyDescent="0.35">
      <c r="A33" s="1"/>
      <c r="B33" s="192"/>
      <c r="C33" s="112" t="s">
        <v>80</v>
      </c>
      <c r="D33" s="112" t="s">
        <v>81</v>
      </c>
      <c r="E33" s="112" t="s">
        <v>82</v>
      </c>
      <c r="F33" s="112" t="s">
        <v>83</v>
      </c>
      <c r="G33" s="1"/>
      <c r="H33" s="1"/>
      <c r="I33" s="1"/>
      <c r="J33" s="1"/>
      <c r="K33" s="1"/>
      <c r="L33" s="1"/>
      <c r="M33" s="192"/>
      <c r="N33" s="112" t="s">
        <v>80</v>
      </c>
      <c r="O33" s="112" t="s">
        <v>81</v>
      </c>
      <c r="P33" s="112" t="s">
        <v>82</v>
      </c>
      <c r="Q33" s="112" t="s">
        <v>83</v>
      </c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</row>
    <row r="34" spans="1:29" ht="15" thickBot="1" x14ac:dyDescent="0.35">
      <c r="A34" s="1"/>
      <c r="B34" s="44" t="s">
        <v>57</v>
      </c>
      <c r="C34" s="109">
        <f>Serviço!C70</f>
        <v>288945</v>
      </c>
      <c r="D34" s="110">
        <v>3848</v>
      </c>
      <c r="E34" s="101">
        <f>C34/D34</f>
        <v>75.089656964656967</v>
      </c>
      <c r="F34" s="111">
        <v>0.1123</v>
      </c>
      <c r="G34" s="1"/>
      <c r="H34" s="1"/>
      <c r="I34" s="1"/>
      <c r="J34" s="1"/>
      <c r="K34" s="1"/>
      <c r="L34" s="1"/>
      <c r="M34" s="44" t="s">
        <v>57</v>
      </c>
      <c r="N34" s="144">
        <f>Serviço!C81</f>
        <v>157396</v>
      </c>
      <c r="O34" s="142">
        <v>2500</v>
      </c>
      <c r="P34" s="139">
        <f>N34/O34</f>
        <v>62.958399999999997</v>
      </c>
      <c r="Q34" s="146">
        <v>0.12039999999999999</v>
      </c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</row>
    <row r="35" spans="1:29" ht="15" thickBot="1" x14ac:dyDescent="0.35">
      <c r="A35" s="1"/>
      <c r="B35" s="45" t="s">
        <v>58</v>
      </c>
      <c r="C35" s="99">
        <f>Serviço!D70</f>
        <v>254163</v>
      </c>
      <c r="D35" s="100">
        <v>3436</v>
      </c>
      <c r="E35" s="101">
        <f>C35/D35</f>
        <v>73.970605355064023</v>
      </c>
      <c r="F35" s="108">
        <v>0.11070000000000001</v>
      </c>
      <c r="G35" s="1"/>
      <c r="H35" s="1"/>
      <c r="I35" s="1"/>
      <c r="J35" s="1"/>
      <c r="K35" s="1"/>
      <c r="L35" s="1"/>
      <c r="M35" s="45" t="s">
        <v>58</v>
      </c>
      <c r="N35" s="144">
        <f>Serviço!D81</f>
        <v>143160</v>
      </c>
      <c r="O35" s="325">
        <v>2330</v>
      </c>
      <c r="P35" s="139">
        <f>N35/O35</f>
        <v>61.442060085836907</v>
      </c>
      <c r="Q35" s="146">
        <v>0.12540000000000001</v>
      </c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</row>
    <row r="36" spans="1:29" x14ac:dyDescent="0.3">
      <c r="A36" s="1"/>
      <c r="B36" s="13" t="s">
        <v>84</v>
      </c>
      <c r="C36" s="102">
        <f>C35-C34</f>
        <v>-34782</v>
      </c>
      <c r="D36" s="81">
        <f>D35-D34</f>
        <v>-412</v>
      </c>
      <c r="E36" s="103">
        <f>E35-E34</f>
        <v>-1.1190516095929439</v>
      </c>
      <c r="F36" s="104">
        <f>(F35-F34)*100</f>
        <v>-0.15999999999999903</v>
      </c>
      <c r="G36" s="1"/>
      <c r="H36" s="1"/>
      <c r="I36" s="1"/>
      <c r="J36" s="1"/>
      <c r="K36" s="1"/>
      <c r="L36" s="1"/>
      <c r="M36" s="13" t="s">
        <v>85</v>
      </c>
      <c r="N36" s="145">
        <f>N35-N34</f>
        <v>-14236</v>
      </c>
      <c r="O36" s="88">
        <f>O35-O34</f>
        <v>-170</v>
      </c>
      <c r="P36" s="140">
        <f>P35-P34</f>
        <v>-1.5163399141630904</v>
      </c>
      <c r="Q36" s="147">
        <f>(Q35-Q34)*100</f>
        <v>0.50000000000000178</v>
      </c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</row>
    <row r="37" spans="1:29" ht="15" thickBot="1" x14ac:dyDescent="0.35">
      <c r="A37" s="1"/>
      <c r="B37" s="46" t="s">
        <v>86</v>
      </c>
      <c r="C37" s="84">
        <f>C36/C34</f>
        <v>-0.12037585007527384</v>
      </c>
      <c r="D37" s="84">
        <f>D36/D34</f>
        <v>-0.10706860706860707</v>
      </c>
      <c r="E37" s="107">
        <f>E36/E35</f>
        <v>-1.5128328397765825E-2</v>
      </c>
      <c r="F37" s="91">
        <f>(F35-F34)/F34</f>
        <v>-1.4247551202137047E-2</v>
      </c>
      <c r="G37" s="1"/>
      <c r="H37" s="1"/>
      <c r="I37" s="1"/>
      <c r="J37" s="1"/>
      <c r="K37" s="1"/>
      <c r="L37" s="1"/>
      <c r="M37" s="46" t="s">
        <v>86</v>
      </c>
      <c r="N37" s="85">
        <f>N36/N34</f>
        <v>-9.0447025337365622E-2</v>
      </c>
      <c r="O37" s="85">
        <f>O36/O34</f>
        <v>-6.8000000000000005E-2</v>
      </c>
      <c r="P37" s="141">
        <f>P36/P35</f>
        <v>-2.4679184129645159E-2</v>
      </c>
      <c r="Q37" s="148">
        <f>(Q35-Q34)/Q34</f>
        <v>4.1528239202657961E-2</v>
      </c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</row>
    <row r="38" spans="1:29" ht="15" thickBot="1" x14ac:dyDescent="0.35">
      <c r="A38" s="1"/>
      <c r="B38" s="45" t="s">
        <v>59</v>
      </c>
      <c r="C38" s="99">
        <f>Serviço!E70</f>
        <v>280532</v>
      </c>
      <c r="D38" s="100">
        <v>3871</v>
      </c>
      <c r="E38" s="101">
        <f>C38/D38</f>
        <v>72.470162748643759</v>
      </c>
      <c r="F38" s="108">
        <v>0.1142</v>
      </c>
      <c r="G38" s="1"/>
      <c r="H38" s="1"/>
      <c r="I38" s="1"/>
      <c r="J38" s="1"/>
      <c r="K38" s="1"/>
      <c r="L38" s="1"/>
      <c r="M38" s="45" t="s">
        <v>59</v>
      </c>
      <c r="N38" s="144">
        <f>Serviço!E81</f>
        <v>153168</v>
      </c>
      <c r="O38" s="142">
        <v>2444</v>
      </c>
      <c r="P38" s="139">
        <f>N38/O38</f>
        <v>62.671031096563013</v>
      </c>
      <c r="Q38" s="146">
        <v>0.11840000000000001</v>
      </c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</row>
    <row r="39" spans="1:29" x14ac:dyDescent="0.3">
      <c r="A39" s="1"/>
      <c r="B39" s="13" t="s">
        <v>84</v>
      </c>
      <c r="C39" s="102">
        <f>C38-C35</f>
        <v>26369</v>
      </c>
      <c r="D39" s="81">
        <f>D38-D35</f>
        <v>435</v>
      </c>
      <c r="E39" s="103">
        <f>E38-E35</f>
        <v>-1.5004426064202647</v>
      </c>
      <c r="F39" s="104">
        <f>(F38-F35)*100</f>
        <v>0.34999999999999892</v>
      </c>
      <c r="G39" s="1"/>
      <c r="H39" s="1"/>
      <c r="I39" s="1"/>
      <c r="J39" s="1"/>
      <c r="K39" s="1"/>
      <c r="L39" s="1"/>
      <c r="M39" s="13" t="s">
        <v>85</v>
      </c>
      <c r="N39" s="145">
        <f>N38-N35</f>
        <v>10008</v>
      </c>
      <c r="O39" s="88">
        <f>O38-O35</f>
        <v>114</v>
      </c>
      <c r="P39" s="140">
        <f>P38-P35</f>
        <v>1.2289710107261058</v>
      </c>
      <c r="Q39" s="149">
        <f>(Q38-Q35)*100</f>
        <v>-0.70000000000000062</v>
      </c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</row>
    <row r="40" spans="1:29" ht="15" thickBot="1" x14ac:dyDescent="0.35">
      <c r="A40" s="1"/>
      <c r="B40" s="46" t="s">
        <v>86</v>
      </c>
      <c r="C40" s="84">
        <f>C39/C35</f>
        <v>0.10374838194387066</v>
      </c>
      <c r="D40" s="84">
        <f>D39/D35</f>
        <v>0.12660069848661235</v>
      </c>
      <c r="E40" s="107">
        <f>E39/E35</f>
        <v>-2.0284308871314983E-2</v>
      </c>
      <c r="F40" s="84">
        <f>(F38-F35)/F35</f>
        <v>3.1616982836494931E-2</v>
      </c>
      <c r="G40" s="1"/>
      <c r="H40" s="1"/>
      <c r="I40" s="1"/>
      <c r="J40" s="1"/>
      <c r="K40" s="1"/>
      <c r="L40" s="1"/>
      <c r="M40" s="46" t="s">
        <v>86</v>
      </c>
      <c r="N40" s="85">
        <f>N39/N35</f>
        <v>6.9907795473595977E-2</v>
      </c>
      <c r="O40" s="85">
        <f>O39/O35</f>
        <v>4.8927038626609444E-2</v>
      </c>
      <c r="P40" s="141">
        <f>P39/P35</f>
        <v>2.0002112706006055E-2</v>
      </c>
      <c r="Q40" s="148">
        <f>(Q38-Q35)/Q35</f>
        <v>-5.5821371610845341E-2</v>
      </c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</row>
    <row r="41" spans="1:29" ht="15" thickBot="1" x14ac:dyDescent="0.35">
      <c r="A41" s="1"/>
      <c r="B41" s="45" t="s">
        <v>2</v>
      </c>
      <c r="C41" s="99">
        <f>Serviço!F70</f>
        <v>247258</v>
      </c>
      <c r="D41" s="100">
        <v>3722</v>
      </c>
      <c r="E41" s="101">
        <f>C41/D41</f>
        <v>66.431488447071473</v>
      </c>
      <c r="F41" s="108">
        <v>0.10680000000000001</v>
      </c>
      <c r="G41" s="1"/>
      <c r="H41" s="1"/>
      <c r="I41" s="1"/>
      <c r="J41" s="1"/>
      <c r="K41" s="1"/>
      <c r="L41" s="1"/>
      <c r="M41" s="45" t="s">
        <v>2</v>
      </c>
      <c r="N41" s="144">
        <f>Serviço!F81</f>
        <v>142879</v>
      </c>
      <c r="O41" s="142">
        <v>2535</v>
      </c>
      <c r="P41" s="139">
        <f>N41/O41</f>
        <v>56.362524654832349</v>
      </c>
      <c r="Q41" s="150">
        <v>0.13020000000000001</v>
      </c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</row>
    <row r="42" spans="1:29" x14ac:dyDescent="0.3">
      <c r="A42" s="1"/>
      <c r="B42" s="13" t="s">
        <v>84</v>
      </c>
      <c r="C42" s="102">
        <f>C41-C38</f>
        <v>-33274</v>
      </c>
      <c r="D42" s="81">
        <f>D41-D38</f>
        <v>-149</v>
      </c>
      <c r="E42" s="103">
        <f>E41-E38</f>
        <v>-6.0386743015722857</v>
      </c>
      <c r="F42" s="104">
        <f>(F41-F38)*100</f>
        <v>-0.73999999999999899</v>
      </c>
      <c r="G42" s="1"/>
      <c r="H42" s="1"/>
      <c r="I42" s="1"/>
      <c r="J42" s="1"/>
      <c r="K42" s="1"/>
      <c r="L42" s="1"/>
      <c r="M42" s="13" t="s">
        <v>85</v>
      </c>
      <c r="N42" s="145">
        <f>N41-N38</f>
        <v>-10289</v>
      </c>
      <c r="O42" s="88">
        <f>O41-O38</f>
        <v>91</v>
      </c>
      <c r="P42" s="140">
        <f>P41-P38</f>
        <v>-6.308506441730664</v>
      </c>
      <c r="Q42" s="149">
        <f>(Q41-Q38)*100</f>
        <v>1.1800000000000006</v>
      </c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</row>
    <row r="43" spans="1:29" ht="15" thickBot="1" x14ac:dyDescent="0.35">
      <c r="A43" s="1"/>
      <c r="B43" s="46" t="s">
        <v>86</v>
      </c>
      <c r="C43" s="84">
        <f>C42/C38</f>
        <v>-0.11861035461195157</v>
      </c>
      <c r="D43" s="84">
        <f>D42/D38</f>
        <v>-3.8491345905450787E-2</v>
      </c>
      <c r="E43" s="107">
        <f>E42/E38</f>
        <v>-8.3326352150151564E-2</v>
      </c>
      <c r="F43" s="84">
        <f>(F41-F38)/F38</f>
        <v>-6.4798598949211819E-2</v>
      </c>
      <c r="G43" s="1"/>
      <c r="H43" s="1"/>
      <c r="I43" s="1"/>
      <c r="J43" s="1"/>
      <c r="K43" s="1"/>
      <c r="L43" s="1"/>
      <c r="M43" s="46" t="s">
        <v>86</v>
      </c>
      <c r="N43" s="85">
        <f>N42/N38</f>
        <v>-6.7174605661757023E-2</v>
      </c>
      <c r="O43" s="85">
        <f>O42/O38</f>
        <v>3.7234042553191488E-2</v>
      </c>
      <c r="P43" s="141">
        <f>P42/P38</f>
        <v>-0.10066064545851446</v>
      </c>
      <c r="Q43" s="148">
        <f>(Q41-Q38)/Q38</f>
        <v>9.9662162162162199E-2</v>
      </c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</row>
    <row r="44" spans="1:29" ht="15" thickBot="1" x14ac:dyDescent="0.35">
      <c r="A44" s="1"/>
      <c r="B44" s="45" t="s">
        <v>60</v>
      </c>
      <c r="C44" s="99">
        <f>Serviço!G70</f>
        <v>251597</v>
      </c>
      <c r="D44" s="100">
        <v>3362</v>
      </c>
      <c r="E44" s="101">
        <f>C44/D44</f>
        <v>74.835514574657935</v>
      </c>
      <c r="F44" s="108">
        <v>0.10639999999999999</v>
      </c>
      <c r="G44" s="1"/>
      <c r="H44" s="1"/>
      <c r="I44" s="1"/>
      <c r="J44" s="1"/>
      <c r="K44" s="1"/>
      <c r="L44" s="1"/>
      <c r="M44" s="45" t="s">
        <v>60</v>
      </c>
      <c r="N44" s="144">
        <f>Serviço!G81</f>
        <v>161979</v>
      </c>
      <c r="O44" s="142">
        <v>2489</v>
      </c>
      <c r="P44" s="139">
        <f>N44/O44</f>
        <v>65.07794294897549</v>
      </c>
      <c r="Q44" s="150">
        <v>0.12180000000000001</v>
      </c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</row>
    <row r="45" spans="1:29" x14ac:dyDescent="0.3">
      <c r="A45" s="1"/>
      <c r="B45" s="13" t="s">
        <v>84</v>
      </c>
      <c r="C45" s="102">
        <f>C44-C41</f>
        <v>4339</v>
      </c>
      <c r="D45" s="81">
        <f>D44-D41</f>
        <v>-360</v>
      </c>
      <c r="E45" s="103">
        <f>E44-E41</f>
        <v>8.4040261275864623</v>
      </c>
      <c r="F45" s="104">
        <f>(F44-F41)*100</f>
        <v>-4.0000000000001146E-2</v>
      </c>
      <c r="G45" s="1"/>
      <c r="H45" s="1"/>
      <c r="I45" s="1"/>
      <c r="J45" s="1"/>
      <c r="K45" s="1"/>
      <c r="L45" s="1"/>
      <c r="M45" s="13" t="s">
        <v>85</v>
      </c>
      <c r="N45" s="145">
        <f>N44-N41</f>
        <v>19100</v>
      </c>
      <c r="O45" s="88">
        <f>O44-O41</f>
        <v>-46</v>
      </c>
      <c r="P45" s="140">
        <f>P44-P41</f>
        <v>8.7154182941431415</v>
      </c>
      <c r="Q45" s="149">
        <f>(Q44-Q41)*100</f>
        <v>-0.84000000000000052</v>
      </c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</row>
    <row r="46" spans="1:29" ht="15" thickBot="1" x14ac:dyDescent="0.35">
      <c r="A46" s="1"/>
      <c r="B46" s="47" t="s">
        <v>86</v>
      </c>
      <c r="C46" s="105">
        <f>C45/C41</f>
        <v>1.7548471636913671E-2</v>
      </c>
      <c r="D46" s="105">
        <f>D45/D41</f>
        <v>-9.6722192369693719E-2</v>
      </c>
      <c r="E46" s="106">
        <f>E45/E41</f>
        <v>0.12650666610130637</v>
      </c>
      <c r="F46" s="105">
        <f>(F44-F41)/F41</f>
        <v>-3.7453183520600323E-3</v>
      </c>
      <c r="G46" s="1"/>
      <c r="H46" s="1"/>
      <c r="I46" s="1"/>
      <c r="J46" s="1"/>
      <c r="K46" s="1"/>
      <c r="L46" s="1"/>
      <c r="M46" s="47" t="s">
        <v>86</v>
      </c>
      <c r="N46" s="85">
        <f>N45/N41</f>
        <v>0.13367954702930451</v>
      </c>
      <c r="O46" s="85">
        <f>O45/O41</f>
        <v>-1.8145956607495069E-2</v>
      </c>
      <c r="P46" s="141">
        <f>P45/P41</f>
        <v>0.15463143901940007</v>
      </c>
      <c r="Q46" s="148">
        <f>(Q44-Q41)/Q41</f>
        <v>-6.451612903225809E-2</v>
      </c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</row>
    <row r="47" spans="1:29" ht="15" thickBot="1" x14ac:dyDescent="0.35">
      <c r="A47" s="1"/>
      <c r="B47" s="45" t="s">
        <v>61</v>
      </c>
      <c r="C47" s="99">
        <f>Serviço!H70</f>
        <v>252397</v>
      </c>
      <c r="D47" s="100"/>
      <c r="E47" s="101" t="e">
        <f>C47/D47</f>
        <v>#DIV/0!</v>
      </c>
      <c r="F47" s="108"/>
      <c r="G47" s="1"/>
      <c r="H47" s="1"/>
      <c r="I47" s="1"/>
      <c r="J47" s="1"/>
      <c r="K47" s="1"/>
      <c r="L47" s="1"/>
      <c r="M47" s="45" t="s">
        <v>61</v>
      </c>
      <c r="N47" s="144">
        <f>Serviço!H81</f>
        <v>159094</v>
      </c>
      <c r="O47" s="142"/>
      <c r="P47" s="139" t="e">
        <f>N47/O47</f>
        <v>#DIV/0!</v>
      </c>
      <c r="Q47" s="150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</row>
    <row r="48" spans="1:29" x14ac:dyDescent="0.3">
      <c r="A48" s="1"/>
      <c r="B48" s="13" t="s">
        <v>84</v>
      </c>
      <c r="C48" s="102">
        <f>C47-C44</f>
        <v>800</v>
      </c>
      <c r="D48" s="81">
        <f>D47-D44</f>
        <v>-3362</v>
      </c>
      <c r="E48" s="103" t="e">
        <f>E47-E44</f>
        <v>#DIV/0!</v>
      </c>
      <c r="F48" s="104">
        <f>(F47-F44)*100</f>
        <v>-10.639999999999999</v>
      </c>
      <c r="G48" s="1"/>
      <c r="H48" s="1"/>
      <c r="I48" s="1"/>
      <c r="J48" s="1"/>
      <c r="K48" s="1"/>
      <c r="L48" s="1"/>
      <c r="M48" s="13" t="s">
        <v>85</v>
      </c>
      <c r="N48" s="145">
        <f>N47-N44</f>
        <v>-2885</v>
      </c>
      <c r="O48" s="88">
        <f>O47-O44</f>
        <v>-2489</v>
      </c>
      <c r="P48" s="140" t="e">
        <f>P47-P44</f>
        <v>#DIV/0!</v>
      </c>
      <c r="Q48" s="149">
        <f>(Q47-Q44)*100</f>
        <v>-12.18</v>
      </c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</row>
    <row r="49" spans="1:29" ht="15" thickBot="1" x14ac:dyDescent="0.35">
      <c r="A49" s="1"/>
      <c r="B49" s="47" t="s">
        <v>86</v>
      </c>
      <c r="C49" s="105">
        <f>C48/C44</f>
        <v>3.1796881520844843E-3</v>
      </c>
      <c r="D49" s="105">
        <f>D48/D44</f>
        <v>-1</v>
      </c>
      <c r="E49" s="106" t="e">
        <f>E48/E44</f>
        <v>#DIV/0!</v>
      </c>
      <c r="F49" s="105">
        <f>(F47-F44)/F44</f>
        <v>-1</v>
      </c>
      <c r="G49" s="1"/>
      <c r="H49" s="1"/>
      <c r="I49" s="1"/>
      <c r="J49" s="1"/>
      <c r="K49" s="1"/>
      <c r="L49" s="1"/>
      <c r="M49" s="47" t="s">
        <v>86</v>
      </c>
      <c r="N49" s="85">
        <f>N48/N44</f>
        <v>-1.781095080226449E-2</v>
      </c>
      <c r="O49" s="85">
        <f>O48/O44</f>
        <v>-1</v>
      </c>
      <c r="P49" s="141" t="e">
        <f>P48/P44</f>
        <v>#DIV/0!</v>
      </c>
      <c r="Q49" s="148">
        <f>(Q47-Q44)/Q44</f>
        <v>-1</v>
      </c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</row>
    <row r="50" spans="1:29" ht="15" thickBot="1" x14ac:dyDescent="0.35">
      <c r="A50" s="1"/>
      <c r="B50" s="45" t="s">
        <v>62</v>
      </c>
      <c r="C50" s="99">
        <f>Serviço!I70</f>
        <v>268928</v>
      </c>
      <c r="D50" s="100"/>
      <c r="E50" s="101" t="e">
        <f>C50/D50</f>
        <v>#DIV/0!</v>
      </c>
      <c r="F50" s="108"/>
      <c r="G50" s="1"/>
      <c r="H50" s="1"/>
      <c r="I50" s="1"/>
      <c r="J50" s="1"/>
      <c r="K50" s="1"/>
      <c r="L50" s="1"/>
      <c r="M50" s="45" t="s">
        <v>62</v>
      </c>
      <c r="N50" s="144">
        <f>Serviço!I81</f>
        <v>165280</v>
      </c>
      <c r="O50" s="142"/>
      <c r="P50" s="139" t="e">
        <f>N50/O50</f>
        <v>#DIV/0!</v>
      </c>
      <c r="Q50" s="146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</row>
    <row r="51" spans="1:29" x14ac:dyDescent="0.3">
      <c r="A51" s="1"/>
      <c r="B51" s="13" t="s">
        <v>84</v>
      </c>
      <c r="C51" s="102">
        <f>C50-C47</f>
        <v>16531</v>
      </c>
      <c r="D51" s="81">
        <f>D50-D47</f>
        <v>0</v>
      </c>
      <c r="E51" s="103" t="e">
        <f>E50-E47</f>
        <v>#DIV/0!</v>
      </c>
      <c r="F51" s="104">
        <f>(F50-F47)*100</f>
        <v>0</v>
      </c>
      <c r="G51" s="1"/>
      <c r="H51" s="1"/>
      <c r="I51" s="1"/>
      <c r="J51" s="1"/>
      <c r="K51" s="1"/>
      <c r="L51" s="1"/>
      <c r="M51" s="13" t="s">
        <v>85</v>
      </c>
      <c r="N51" s="145">
        <f>N50-N34</f>
        <v>7884</v>
      </c>
      <c r="O51" s="88">
        <f>O50-O34</f>
        <v>-2500</v>
      </c>
      <c r="P51" s="140" t="e">
        <f>P50-P47</f>
        <v>#DIV/0!</v>
      </c>
      <c r="Q51" s="149">
        <f>(Q50-Q47)*100</f>
        <v>0</v>
      </c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</row>
    <row r="52" spans="1:29" ht="15" thickBot="1" x14ac:dyDescent="0.35">
      <c r="A52" s="1"/>
      <c r="B52" s="46" t="s">
        <v>86</v>
      </c>
      <c r="C52" s="105">
        <f>C51/C47</f>
        <v>6.5496024120730439E-2</v>
      </c>
      <c r="D52" s="105" t="e">
        <f>D51/D47</f>
        <v>#DIV/0!</v>
      </c>
      <c r="E52" s="107" t="e">
        <f>E51/E47</f>
        <v>#DIV/0!</v>
      </c>
      <c r="F52" s="91" t="e">
        <f>(F50-F47)/F47</f>
        <v>#DIV/0!</v>
      </c>
      <c r="G52" s="1"/>
      <c r="H52" s="1"/>
      <c r="I52" s="1"/>
      <c r="J52" s="1"/>
      <c r="K52" s="1"/>
      <c r="L52" s="1"/>
      <c r="M52" s="46" t="s">
        <v>86</v>
      </c>
      <c r="N52" s="85">
        <f>N51/N34</f>
        <v>5.0090218302879359E-2</v>
      </c>
      <c r="O52" s="85">
        <f>O51/O34</f>
        <v>-1</v>
      </c>
      <c r="P52" s="141" t="e">
        <f>P51/P47</f>
        <v>#DIV/0!</v>
      </c>
      <c r="Q52" s="148" t="e">
        <f>(Q50-Q47)/Q47</f>
        <v>#DIV/0!</v>
      </c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</row>
    <row r="53" spans="1:29" ht="15" thickBot="1" x14ac:dyDescent="0.35">
      <c r="A53" s="1"/>
      <c r="B53" s="45" t="s">
        <v>63</v>
      </c>
      <c r="C53" s="99">
        <f>Serviço!J70</f>
        <v>286413</v>
      </c>
      <c r="D53" s="100"/>
      <c r="E53" s="101" t="e">
        <f>C53/D53</f>
        <v>#DIV/0!</v>
      </c>
      <c r="F53" s="108"/>
      <c r="G53" s="1"/>
      <c r="H53" s="1"/>
      <c r="I53" s="1"/>
      <c r="J53" s="1"/>
      <c r="K53" s="1"/>
      <c r="L53" s="1"/>
      <c r="M53" s="45" t="s">
        <v>63</v>
      </c>
      <c r="N53" s="144">
        <f>Serviço!J81</f>
        <v>168534</v>
      </c>
      <c r="O53" s="142"/>
      <c r="P53" s="139" t="e">
        <f>N53/O53</f>
        <v>#DIV/0!</v>
      </c>
      <c r="Q53" s="146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</row>
    <row r="54" spans="1:29" x14ac:dyDescent="0.3">
      <c r="A54" s="1"/>
      <c r="B54" s="13" t="s">
        <v>84</v>
      </c>
      <c r="C54" s="102">
        <f>C53-C50</f>
        <v>17485</v>
      </c>
      <c r="D54" s="81">
        <f>D53-D50</f>
        <v>0</v>
      </c>
      <c r="E54" s="103" t="e">
        <f>E53-E50</f>
        <v>#DIV/0!</v>
      </c>
      <c r="F54" s="104">
        <f>(F53-F50)*100</f>
        <v>0</v>
      </c>
      <c r="G54" s="1"/>
      <c r="H54" s="1"/>
      <c r="I54" s="1"/>
      <c r="J54" s="1"/>
      <c r="K54" s="1"/>
      <c r="L54" s="1"/>
      <c r="M54" s="13" t="s">
        <v>85</v>
      </c>
      <c r="N54" s="145">
        <f>N53-N50</f>
        <v>3254</v>
      </c>
      <c r="O54" s="88">
        <f>O53-O50</f>
        <v>0</v>
      </c>
      <c r="P54" s="140" t="e">
        <f>P53-P50</f>
        <v>#DIV/0!</v>
      </c>
      <c r="Q54" s="149">
        <f>(Q53-Q50)*100</f>
        <v>0</v>
      </c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</row>
    <row r="55" spans="1:29" ht="15" thickBot="1" x14ac:dyDescent="0.35">
      <c r="A55" s="1"/>
      <c r="B55" s="46" t="s">
        <v>86</v>
      </c>
      <c r="C55" s="84">
        <f>C54/C50</f>
        <v>6.5017402427415522E-2</v>
      </c>
      <c r="D55" s="84" t="e">
        <f>D54/D50</f>
        <v>#DIV/0!</v>
      </c>
      <c r="E55" s="107" t="e">
        <f>E54/E50</f>
        <v>#DIV/0!</v>
      </c>
      <c r="F55" s="84" t="e">
        <f>(F53-F50)/F50</f>
        <v>#DIV/0!</v>
      </c>
      <c r="G55" s="1"/>
      <c r="H55" s="1"/>
      <c r="I55" s="1"/>
      <c r="J55" s="1"/>
      <c r="K55" s="1"/>
      <c r="L55" s="1"/>
      <c r="M55" s="46" t="s">
        <v>86</v>
      </c>
      <c r="N55" s="85">
        <f>N54/N50</f>
        <v>1.9687802516940949E-2</v>
      </c>
      <c r="O55" s="85" t="e">
        <f>O54/O50</f>
        <v>#DIV/0!</v>
      </c>
      <c r="P55" s="141" t="e">
        <f>P54/P50</f>
        <v>#DIV/0!</v>
      </c>
      <c r="Q55" s="148" t="e">
        <f>(Q53-Q50)/Q50</f>
        <v>#DIV/0!</v>
      </c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</row>
    <row r="56" spans="1:29" ht="15" thickBot="1" x14ac:dyDescent="0.35">
      <c r="A56" s="1"/>
      <c r="B56" s="45" t="s">
        <v>64</v>
      </c>
      <c r="C56" s="99">
        <f>Serviço!K70</f>
        <v>246748</v>
      </c>
      <c r="D56" s="100"/>
      <c r="E56" s="101" t="e">
        <f>C56/D56</f>
        <v>#DIV/0!</v>
      </c>
      <c r="F56" s="108"/>
      <c r="G56" s="1"/>
      <c r="H56" s="1"/>
      <c r="I56" s="1"/>
      <c r="J56" s="1"/>
      <c r="K56" s="1"/>
      <c r="L56" s="1"/>
      <c r="M56" s="45" t="s">
        <v>64</v>
      </c>
      <c r="N56" s="144">
        <f>Serviço!K81</f>
        <v>155517</v>
      </c>
      <c r="O56" s="142"/>
      <c r="P56" s="139" t="e">
        <f>N56/O56</f>
        <v>#DIV/0!</v>
      </c>
      <c r="Q56" s="150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</row>
    <row r="57" spans="1:29" x14ac:dyDescent="0.3">
      <c r="A57" s="1"/>
      <c r="B57" s="13" t="s">
        <v>84</v>
      </c>
      <c r="C57" s="102">
        <f>C56-C53</f>
        <v>-39665</v>
      </c>
      <c r="D57" s="81">
        <f>D56-D53</f>
        <v>0</v>
      </c>
      <c r="E57" s="103" t="e">
        <f>E56-E53</f>
        <v>#DIV/0!</v>
      </c>
      <c r="F57" s="104">
        <f>(F56-F53)*100</f>
        <v>0</v>
      </c>
      <c r="G57" s="1"/>
      <c r="H57" s="1"/>
      <c r="I57" s="1"/>
      <c r="J57" s="1"/>
      <c r="K57" s="1"/>
      <c r="L57" s="1"/>
      <c r="M57" s="13" t="s">
        <v>85</v>
      </c>
      <c r="N57" s="145">
        <f>N56-N53</f>
        <v>-13017</v>
      </c>
      <c r="O57" s="88">
        <f>O56-O53</f>
        <v>0</v>
      </c>
      <c r="P57" s="140" t="e">
        <f>P56-P53</f>
        <v>#DIV/0!</v>
      </c>
      <c r="Q57" s="149">
        <f>(Q56-Q53)*100</f>
        <v>0</v>
      </c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</row>
    <row r="58" spans="1:29" ht="15" thickBot="1" x14ac:dyDescent="0.35">
      <c r="A58" s="1"/>
      <c r="B58" s="46" t="s">
        <v>86</v>
      </c>
      <c r="C58" s="84">
        <f>C57/C53</f>
        <v>-0.13848882557705133</v>
      </c>
      <c r="D58" s="84" t="e">
        <f>D57/D53</f>
        <v>#DIV/0!</v>
      </c>
      <c r="E58" s="107" t="e">
        <f>E57/E53</f>
        <v>#DIV/0!</v>
      </c>
      <c r="F58" s="84" t="e">
        <f>(F56-F53)/F53</f>
        <v>#DIV/0!</v>
      </c>
      <c r="G58" s="1"/>
      <c r="H58" s="1"/>
      <c r="I58" s="1"/>
      <c r="J58" s="1"/>
      <c r="K58" s="1"/>
      <c r="L58" s="1"/>
      <c r="M58" s="46" t="s">
        <v>86</v>
      </c>
      <c r="N58" s="85">
        <f>N57/N53</f>
        <v>-7.7236640677845414E-2</v>
      </c>
      <c r="O58" s="85" t="e">
        <f>O57/O53</f>
        <v>#DIV/0!</v>
      </c>
      <c r="P58" s="141" t="e">
        <f>P57/P53</f>
        <v>#DIV/0!</v>
      </c>
      <c r="Q58" s="148" t="e">
        <f>(Q56-Q53)/Q53</f>
        <v>#DIV/0!</v>
      </c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</row>
    <row r="59" spans="1:29" ht="15" thickBot="1" x14ac:dyDescent="0.35">
      <c r="A59" s="1"/>
      <c r="B59" s="45" t="s">
        <v>65</v>
      </c>
      <c r="C59" s="99">
        <f>Serviço!L70</f>
        <v>236241</v>
      </c>
      <c r="D59" s="100"/>
      <c r="E59" s="101" t="e">
        <f>C59/D59</f>
        <v>#DIV/0!</v>
      </c>
      <c r="F59" s="108"/>
      <c r="G59" s="1"/>
      <c r="H59" s="1"/>
      <c r="I59" s="1"/>
      <c r="J59" s="1"/>
      <c r="K59" s="1"/>
      <c r="L59" s="1"/>
      <c r="M59" s="45" t="s">
        <v>65</v>
      </c>
      <c r="N59" s="144">
        <f>Serviço!L81</f>
        <v>161680</v>
      </c>
      <c r="O59" s="142"/>
      <c r="P59" s="139" t="e">
        <f>N59/O59</f>
        <v>#DIV/0!</v>
      </c>
      <c r="Q59" s="150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</row>
    <row r="60" spans="1:29" x14ac:dyDescent="0.3">
      <c r="A60" s="1"/>
      <c r="B60" s="13" t="s">
        <v>84</v>
      </c>
      <c r="C60" s="102">
        <f>C59-C56</f>
        <v>-10507</v>
      </c>
      <c r="D60" s="81">
        <f>D59-D56</f>
        <v>0</v>
      </c>
      <c r="E60" s="103" t="e">
        <f>E59-E56</f>
        <v>#DIV/0!</v>
      </c>
      <c r="F60" s="104">
        <f>(F59-F56)*100</f>
        <v>0</v>
      </c>
      <c r="G60" s="1"/>
      <c r="H60" s="1"/>
      <c r="I60" s="1"/>
      <c r="J60" s="1"/>
      <c r="K60" s="1"/>
      <c r="L60" s="1"/>
      <c r="M60" s="13" t="s">
        <v>85</v>
      </c>
      <c r="N60" s="145">
        <f>N59-N56</f>
        <v>6163</v>
      </c>
      <c r="O60" s="88">
        <f>O59-O56</f>
        <v>0</v>
      </c>
      <c r="P60" s="140" t="e">
        <f>P59-P56</f>
        <v>#DIV/0!</v>
      </c>
      <c r="Q60" s="149">
        <f>(Q59-Q56)*100</f>
        <v>0</v>
      </c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</row>
    <row r="61" spans="1:29" ht="15" thickBot="1" x14ac:dyDescent="0.35">
      <c r="A61" s="1"/>
      <c r="B61" s="47" t="s">
        <v>86</v>
      </c>
      <c r="C61" s="105">
        <f>C60/C56</f>
        <v>-4.2581905425778527E-2</v>
      </c>
      <c r="D61" s="105" t="e">
        <f>D60/D56</f>
        <v>#DIV/0!</v>
      </c>
      <c r="E61" s="106" t="e">
        <f>E60/E56</f>
        <v>#DIV/0!</v>
      </c>
      <c r="F61" s="105" t="e">
        <f>(F59-F56)/F56</f>
        <v>#DIV/0!</v>
      </c>
      <c r="G61" s="1"/>
      <c r="H61" s="1"/>
      <c r="I61" s="1"/>
      <c r="J61" s="1"/>
      <c r="K61" s="1"/>
      <c r="L61" s="1"/>
      <c r="M61" s="47" t="s">
        <v>86</v>
      </c>
      <c r="N61" s="85">
        <f>N60/N56</f>
        <v>3.9629108071786365E-2</v>
      </c>
      <c r="O61" s="85" t="e">
        <f>O60/O56</f>
        <v>#DIV/0!</v>
      </c>
      <c r="P61" s="141" t="e">
        <f>P60/P56</f>
        <v>#DIV/0!</v>
      </c>
      <c r="Q61" s="148" t="e">
        <f>(Q59-Q56)/Q56</f>
        <v>#DIV/0!</v>
      </c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</row>
    <row r="62" spans="1:29" ht="15" thickBot="1" x14ac:dyDescent="0.35">
      <c r="A62" s="1"/>
      <c r="B62" s="45" t="s">
        <v>66</v>
      </c>
      <c r="C62" s="99">
        <f>Serviço!M70</f>
        <v>236196</v>
      </c>
      <c r="D62" s="100"/>
      <c r="E62" s="101" t="e">
        <f>C62/D62</f>
        <v>#DIV/0!</v>
      </c>
      <c r="F62" s="108"/>
      <c r="G62" s="1"/>
      <c r="H62" s="1"/>
      <c r="I62" s="1"/>
      <c r="J62" s="1"/>
      <c r="K62" s="1"/>
      <c r="L62" s="1"/>
      <c r="M62" s="45" t="s">
        <v>66</v>
      </c>
      <c r="N62" s="144">
        <f>Serviço!M81</f>
        <v>162732</v>
      </c>
      <c r="O62" s="142"/>
      <c r="P62" s="139" t="e">
        <f>N62/O62</f>
        <v>#DIV/0!</v>
      </c>
      <c r="Q62" s="146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</row>
    <row r="63" spans="1:29" x14ac:dyDescent="0.3">
      <c r="A63" s="1"/>
      <c r="B63" s="13" t="s">
        <v>84</v>
      </c>
      <c r="C63" s="102">
        <f>C62-C59</f>
        <v>-45</v>
      </c>
      <c r="D63" s="81">
        <f>D62-D59</f>
        <v>0</v>
      </c>
      <c r="E63" s="103" t="e">
        <f>E62-E59</f>
        <v>#DIV/0!</v>
      </c>
      <c r="F63" s="104">
        <f>(F62-F59)*100</f>
        <v>0</v>
      </c>
      <c r="G63" s="1"/>
      <c r="H63" s="1"/>
      <c r="I63" s="1"/>
      <c r="J63" s="1"/>
      <c r="K63" s="1"/>
      <c r="L63" s="1"/>
      <c r="M63" s="13" t="s">
        <v>85</v>
      </c>
      <c r="N63" s="145">
        <f>N62-N59</f>
        <v>1052</v>
      </c>
      <c r="O63" s="88">
        <f>O62-O59</f>
        <v>0</v>
      </c>
      <c r="P63" s="140" t="e">
        <f>P62-P59</f>
        <v>#DIV/0!</v>
      </c>
      <c r="Q63" s="149">
        <f>(Q62-Q59)*100</f>
        <v>0</v>
      </c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</row>
    <row r="64" spans="1:29" ht="15" thickBot="1" x14ac:dyDescent="0.35">
      <c r="A64" s="1"/>
      <c r="B64" s="47" t="s">
        <v>86</v>
      </c>
      <c r="C64" s="105">
        <f>C63/C59</f>
        <v>-1.9048344698845669E-4</v>
      </c>
      <c r="D64" s="105" t="e">
        <f>D63/D59</f>
        <v>#DIV/0!</v>
      </c>
      <c r="E64" s="106" t="e">
        <f>E63/E59</f>
        <v>#DIV/0!</v>
      </c>
      <c r="F64" s="105" t="e">
        <f>(F62-F59)/F59</f>
        <v>#DIV/0!</v>
      </c>
      <c r="G64" s="1"/>
      <c r="H64" s="1"/>
      <c r="I64" s="1"/>
      <c r="J64" s="1"/>
      <c r="K64" s="1"/>
      <c r="L64" s="1"/>
      <c r="M64" s="47" t="s">
        <v>86</v>
      </c>
      <c r="N64" s="85">
        <f>N63/N59</f>
        <v>6.5066798614547257E-3</v>
      </c>
      <c r="O64" s="85" t="e">
        <f>O63/O59</f>
        <v>#DIV/0!</v>
      </c>
      <c r="P64" s="141" t="e">
        <f>P63/P59</f>
        <v>#DIV/0!</v>
      </c>
      <c r="Q64" s="148" t="e">
        <f>(Q62-Q59)/Q59</f>
        <v>#DIV/0!</v>
      </c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</row>
    <row r="65" spans="1:29" ht="15" thickBot="1" x14ac:dyDescent="0.35">
      <c r="A65" s="1"/>
      <c r="B65" s="45" t="s">
        <v>67</v>
      </c>
      <c r="C65" s="99">
        <f>Serviço!N70</f>
        <v>82979</v>
      </c>
      <c r="D65" s="100"/>
      <c r="E65" s="101" t="e">
        <f>C65/D65</f>
        <v>#DIV/0!</v>
      </c>
      <c r="F65" s="108"/>
      <c r="G65" s="1"/>
      <c r="H65" s="1"/>
      <c r="I65" s="1"/>
      <c r="J65" s="1"/>
      <c r="K65" s="1"/>
      <c r="L65" s="1"/>
      <c r="M65" s="45" t="s">
        <v>67</v>
      </c>
      <c r="N65" s="144">
        <f>Serviço!N81</f>
        <v>57366</v>
      </c>
      <c r="O65" s="142"/>
      <c r="P65" s="139" t="e">
        <f>N65/O65</f>
        <v>#DIV/0!</v>
      </c>
      <c r="Q65" s="146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</row>
    <row r="66" spans="1:29" x14ac:dyDescent="0.3">
      <c r="A66" s="1"/>
      <c r="B66" s="13" t="s">
        <v>84</v>
      </c>
      <c r="C66" s="102">
        <f>C65-C59</f>
        <v>-153262</v>
      </c>
      <c r="D66" s="81">
        <f>D65-D59</f>
        <v>0</v>
      </c>
      <c r="E66" s="103" t="e">
        <f>E65-E62</f>
        <v>#DIV/0!</v>
      </c>
      <c r="F66" s="104">
        <f>(F65-F62)*100</f>
        <v>0</v>
      </c>
      <c r="G66" s="1"/>
      <c r="H66" s="1"/>
      <c r="I66" s="1"/>
      <c r="J66" s="1"/>
      <c r="K66" s="1"/>
      <c r="L66" s="1"/>
      <c r="M66" s="13" t="s">
        <v>85</v>
      </c>
      <c r="N66" s="145">
        <f>N65-N59</f>
        <v>-104314</v>
      </c>
      <c r="O66" s="88">
        <f>O65-O59</f>
        <v>0</v>
      </c>
      <c r="P66" s="140" t="e">
        <f>P65-P62</f>
        <v>#DIV/0!</v>
      </c>
      <c r="Q66" s="149">
        <f>(Q65-Q62)*100</f>
        <v>0</v>
      </c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</row>
    <row r="67" spans="1:29" ht="21.6" thickBot="1" x14ac:dyDescent="0.45">
      <c r="A67" s="1"/>
      <c r="B67" s="47" t="s">
        <v>86</v>
      </c>
      <c r="C67" s="105">
        <f>C66/C59</f>
        <v>-0.64875275671877453</v>
      </c>
      <c r="D67" s="105" t="e">
        <f>D66/D59</f>
        <v>#DIV/0!</v>
      </c>
      <c r="E67" s="106" t="e">
        <f>E66/E62</f>
        <v>#DIV/0!</v>
      </c>
      <c r="F67" s="105" t="e">
        <f>(F65-F62)/F62</f>
        <v>#DIV/0!</v>
      </c>
      <c r="G67" s="1"/>
      <c r="H67" s="1"/>
      <c r="I67" s="1"/>
      <c r="J67" s="1"/>
      <c r="K67" s="1"/>
      <c r="L67" s="48"/>
      <c r="M67" s="151" t="s">
        <v>86</v>
      </c>
      <c r="N67" s="85">
        <f>N66/N59</f>
        <v>-0.64518802572983669</v>
      </c>
      <c r="O67" s="85" t="e">
        <f>O66/O59</f>
        <v>#DIV/0!</v>
      </c>
      <c r="P67" s="141" t="e">
        <f>P66/P62</f>
        <v>#DIV/0!</v>
      </c>
      <c r="Q67" s="148" t="e">
        <f>(Q65-Q62)/Q62</f>
        <v>#DIV/0!</v>
      </c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</row>
    <row r="68" spans="1:29" ht="15" thickBot="1" x14ac:dyDescent="0.35">
      <c r="A68" s="1"/>
      <c r="B68" s="45" t="s">
        <v>21</v>
      </c>
      <c r="C68" s="99">
        <f>SUM(C65+C62+C59+C56+C53+C50+C47+C44+C41+C38+C35+C34)</f>
        <v>2932397</v>
      </c>
      <c r="D68" s="100">
        <f>SUM(D65+D62+D59+D56+D53+D50+D47+D44+D41+D38+D35+D34)</f>
        <v>18239</v>
      </c>
      <c r="E68" s="131">
        <f>C68/D68</f>
        <v>160.77619387027798</v>
      </c>
      <c r="F68" s="100"/>
      <c r="G68" s="152"/>
      <c r="H68" s="152"/>
      <c r="I68" s="152"/>
      <c r="J68" s="152"/>
      <c r="K68" s="152"/>
      <c r="L68" s="1"/>
      <c r="M68" s="45" t="s">
        <v>21</v>
      </c>
      <c r="N68" s="144">
        <f>SUM(N65+N62+N59+N56+N53+N50+N47+N44+N41+N38+N35+N34)</f>
        <v>1788785</v>
      </c>
      <c r="O68" s="143">
        <f>SUM(O65+O62+O59+O56+O53+O50+O47+O44+O41+O38+O35+O34)</f>
        <v>12298</v>
      </c>
      <c r="P68" s="164">
        <f>N68/O68</f>
        <v>145.45332574402343</v>
      </c>
      <c r="Q68" s="157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</row>
    <row r="69" spans="1:29" x14ac:dyDescent="0.3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</row>
    <row r="70" spans="1:29" ht="21" x14ac:dyDescent="0.4">
      <c r="A70" s="1"/>
      <c r="B70" s="647" t="s">
        <v>87</v>
      </c>
      <c r="C70" s="647"/>
      <c r="D70" s="647"/>
      <c r="E70" s="647"/>
      <c r="F70" s="647"/>
      <c r="G70" s="647"/>
      <c r="H70" s="647"/>
      <c r="I70" s="647"/>
      <c r="J70" s="647"/>
      <c r="K70" s="647"/>
      <c r="L70" s="647"/>
      <c r="M70" s="647"/>
      <c r="N70" s="647"/>
      <c r="O70" s="647"/>
      <c r="P70" s="647"/>
      <c r="Q70" s="647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</row>
    <row r="71" spans="1:29" x14ac:dyDescent="0.3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</row>
    <row r="72" spans="1:29" x14ac:dyDescent="0.3">
      <c r="A72" s="1"/>
      <c r="B72" s="1"/>
      <c r="C72" s="49" t="s">
        <v>3</v>
      </c>
      <c r="D72" s="49" t="s">
        <v>10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</row>
    <row r="73" spans="1:29" x14ac:dyDescent="0.3">
      <c r="A73" s="1"/>
      <c r="B73" s="50" t="s">
        <v>57</v>
      </c>
      <c r="C73" s="51">
        <v>0</v>
      </c>
      <c r="D73" s="51">
        <v>0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222" t="s">
        <v>218</v>
      </c>
      <c r="T73" s="1"/>
      <c r="U73" s="1"/>
      <c r="V73" s="1"/>
      <c r="W73" s="1"/>
      <c r="X73" s="1"/>
      <c r="Y73" s="1"/>
      <c r="Z73" s="1"/>
      <c r="AA73" s="1"/>
      <c r="AB73" s="1"/>
      <c r="AC73" s="1"/>
    </row>
    <row r="74" spans="1:29" x14ac:dyDescent="0.3">
      <c r="A74" s="1"/>
      <c r="B74" s="50" t="s">
        <v>58</v>
      </c>
      <c r="C74" s="51">
        <v>0</v>
      </c>
      <c r="D74" s="51">
        <v>0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223">
        <v>0.85</v>
      </c>
      <c r="T74" s="1"/>
      <c r="U74" s="1"/>
      <c r="V74" s="1"/>
      <c r="W74" s="1"/>
      <c r="X74" s="1"/>
      <c r="Y74" s="1"/>
      <c r="Z74" s="1"/>
      <c r="AA74" s="1"/>
      <c r="AB74" s="1"/>
      <c r="AC74" s="1"/>
    </row>
    <row r="75" spans="1:29" x14ac:dyDescent="0.3">
      <c r="A75" s="1"/>
      <c r="B75" s="50" t="s">
        <v>59</v>
      </c>
      <c r="C75" s="51">
        <v>3.2000000000000001E-2</v>
      </c>
      <c r="D75" s="51">
        <v>0.1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223">
        <v>0.85</v>
      </c>
      <c r="T75" s="1"/>
      <c r="U75" s="1"/>
      <c r="V75" s="1"/>
      <c r="W75" s="1"/>
      <c r="X75" s="1"/>
      <c r="Y75" s="1"/>
      <c r="Z75" s="1"/>
      <c r="AA75" s="1"/>
      <c r="AB75" s="1"/>
      <c r="AC75" s="1"/>
    </row>
    <row r="76" spans="1:29" x14ac:dyDescent="0.3">
      <c r="A76" s="1"/>
      <c r="B76" s="50" t="s">
        <v>2</v>
      </c>
      <c r="C76" s="51">
        <v>0</v>
      </c>
      <c r="D76" s="51">
        <v>0.05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223"/>
      <c r="T76" s="1"/>
      <c r="U76" s="1"/>
      <c r="V76" s="1"/>
      <c r="W76" s="1"/>
      <c r="X76" s="1"/>
      <c r="Y76" s="1"/>
      <c r="Z76" s="1"/>
      <c r="AA76" s="1"/>
      <c r="AB76" s="1"/>
      <c r="AC76" s="1"/>
    </row>
    <row r="77" spans="1:29" x14ac:dyDescent="0.3">
      <c r="A77" s="1"/>
      <c r="B77" s="50" t="s">
        <v>60</v>
      </c>
      <c r="C77" s="51">
        <v>3.1E-2</v>
      </c>
      <c r="D77" s="51">
        <v>0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</row>
    <row r="78" spans="1:29" x14ac:dyDescent="0.3">
      <c r="A78" s="1"/>
      <c r="B78" s="50" t="s">
        <v>61</v>
      </c>
      <c r="C78" s="51"/>
      <c r="D78" s="5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</row>
    <row r="79" spans="1:29" x14ac:dyDescent="0.3">
      <c r="A79" s="1"/>
      <c r="B79" s="50" t="s">
        <v>62</v>
      </c>
      <c r="C79" s="51"/>
      <c r="D79" s="5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</row>
    <row r="80" spans="1:29" x14ac:dyDescent="0.3">
      <c r="A80" s="1"/>
      <c r="B80" s="50" t="s">
        <v>63</v>
      </c>
      <c r="C80" s="51"/>
      <c r="D80" s="5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</row>
    <row r="81" spans="1:29" x14ac:dyDescent="0.3">
      <c r="A81" s="1"/>
      <c r="B81" s="50" t="s">
        <v>64</v>
      </c>
      <c r="C81" s="51"/>
      <c r="D81" s="5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</row>
    <row r="82" spans="1:29" x14ac:dyDescent="0.3">
      <c r="A82" s="1"/>
      <c r="B82" s="50" t="s">
        <v>65</v>
      </c>
      <c r="C82" s="51"/>
      <c r="D82" s="5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</row>
    <row r="83" spans="1:29" x14ac:dyDescent="0.3">
      <c r="A83" s="1"/>
      <c r="B83" s="50" t="s">
        <v>66</v>
      </c>
      <c r="C83" s="51"/>
      <c r="D83" s="5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</row>
    <row r="84" spans="1:29" x14ac:dyDescent="0.3">
      <c r="A84" s="1"/>
      <c r="B84" s="50" t="s">
        <v>67</v>
      </c>
      <c r="C84" s="51"/>
      <c r="D84" s="5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</row>
    <row r="85" spans="1:29" ht="14.4" customHeight="1" x14ac:dyDescent="0.4">
      <c r="A85" s="1"/>
      <c r="B85" s="50" t="s">
        <v>14</v>
      </c>
      <c r="C85" s="51">
        <v>6.3E-2</v>
      </c>
      <c r="D85" s="51">
        <v>0.1</v>
      </c>
      <c r="E85" s="1"/>
      <c r="F85" s="1"/>
      <c r="G85" s="1"/>
      <c r="H85" s="1"/>
      <c r="I85" s="1"/>
      <c r="J85" s="1"/>
      <c r="K85" s="52"/>
      <c r="L85" s="52"/>
      <c r="M85" s="52"/>
      <c r="N85" s="52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</row>
    <row r="86" spans="1:29" ht="14.4" customHeight="1" x14ac:dyDescent="0.4">
      <c r="A86" s="1"/>
      <c r="B86" s="306" t="s">
        <v>215</v>
      </c>
      <c r="C86" s="307">
        <v>0.5</v>
      </c>
      <c r="D86" s="307">
        <v>0.84199999999999997</v>
      </c>
      <c r="E86" s="1"/>
      <c r="F86" s="1"/>
      <c r="G86" s="1"/>
      <c r="H86" s="1"/>
      <c r="I86" s="1"/>
      <c r="J86" s="1"/>
      <c r="K86" s="52"/>
      <c r="L86" s="52"/>
      <c r="M86" s="52"/>
      <c r="N86" s="52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</row>
    <row r="87" spans="1:29" x14ac:dyDescent="0.3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</row>
    <row r="88" spans="1:29" ht="21" x14ac:dyDescent="0.4">
      <c r="A88" s="1"/>
      <c r="B88" s="188" t="s">
        <v>88</v>
      </c>
      <c r="C88" s="188"/>
      <c r="D88" s="188"/>
      <c r="E88" s="188"/>
      <c r="F88" s="188"/>
      <c r="G88" s="188"/>
      <c r="H88" s="188"/>
      <c r="I88" s="188"/>
      <c r="J88" s="188"/>
      <c r="K88" s="188"/>
      <c r="L88" s="188"/>
      <c r="M88" s="188"/>
      <c r="N88" s="188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</row>
    <row r="89" spans="1:29" ht="15" thickBot="1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</row>
    <row r="90" spans="1:29" ht="21" customHeight="1" x14ac:dyDescent="0.3">
      <c r="A90" s="653"/>
      <c r="B90" s="654" t="s">
        <v>89</v>
      </c>
      <c r="C90" s="655"/>
      <c r="D90" s="655"/>
      <c r="E90" s="654" t="s">
        <v>90</v>
      </c>
      <c r="F90" s="655"/>
      <c r="G90" s="656"/>
      <c r="H90" s="654" t="s">
        <v>89</v>
      </c>
      <c r="I90" s="655"/>
      <c r="J90" s="655"/>
      <c r="K90" s="654" t="s">
        <v>90</v>
      </c>
      <c r="L90" s="655"/>
      <c r="M90" s="656"/>
      <c r="N90" s="1"/>
      <c r="T90" s="1"/>
      <c r="U90" s="1"/>
      <c r="V90" s="1"/>
      <c r="W90" s="1"/>
      <c r="X90" s="1"/>
      <c r="Y90" s="1"/>
      <c r="Z90" s="1"/>
      <c r="AA90" s="1"/>
      <c r="AB90" s="1"/>
      <c r="AC90" s="1"/>
    </row>
    <row r="91" spans="1:29" ht="15" customHeight="1" thickBot="1" x14ac:dyDescent="0.35">
      <c r="A91" s="653"/>
      <c r="B91" s="559" t="s">
        <v>91</v>
      </c>
      <c r="C91" s="560" t="s">
        <v>92</v>
      </c>
      <c r="D91" s="560" t="s">
        <v>93</v>
      </c>
      <c r="E91" s="559" t="s">
        <v>91</v>
      </c>
      <c r="F91" s="560" t="s">
        <v>92</v>
      </c>
      <c r="G91" s="561" t="s">
        <v>93</v>
      </c>
      <c r="H91" s="559" t="s">
        <v>94</v>
      </c>
      <c r="I91" s="560" t="s">
        <v>95</v>
      </c>
      <c r="J91" s="560" t="s">
        <v>96</v>
      </c>
      <c r="K91" s="559" t="s">
        <v>94</v>
      </c>
      <c r="L91" s="560" t="s">
        <v>95</v>
      </c>
      <c r="M91" s="561" t="s">
        <v>96</v>
      </c>
      <c r="N91" s="1"/>
      <c r="T91" s="1"/>
      <c r="U91" s="1"/>
      <c r="V91" s="1"/>
      <c r="W91" s="1"/>
      <c r="X91" s="1"/>
      <c r="Y91" s="1"/>
      <c r="Z91" s="1"/>
      <c r="AA91" s="1"/>
      <c r="AB91" s="1"/>
      <c r="AC91" s="1"/>
    </row>
    <row r="92" spans="1:29" x14ac:dyDescent="0.3">
      <c r="A92" s="117" t="s">
        <v>57</v>
      </c>
      <c r="B92" s="128">
        <v>0.4</v>
      </c>
      <c r="C92" s="129">
        <v>0.23</v>
      </c>
      <c r="D92" s="129">
        <v>0.57999999999999996</v>
      </c>
      <c r="E92" s="129">
        <v>0.45</v>
      </c>
      <c r="F92" s="129">
        <v>0.45</v>
      </c>
      <c r="G92" s="130">
        <v>0.45</v>
      </c>
      <c r="H92" s="128">
        <v>0.35</v>
      </c>
      <c r="I92" s="129">
        <v>0.32</v>
      </c>
      <c r="J92" s="129">
        <v>0.39</v>
      </c>
      <c r="K92" s="129">
        <v>0.27</v>
      </c>
      <c r="L92" s="129">
        <v>0.28999999999999998</v>
      </c>
      <c r="M92" s="130">
        <v>0.26</v>
      </c>
      <c r="N92" s="222" t="s">
        <v>218</v>
      </c>
      <c r="T92" s="1"/>
      <c r="U92" s="1"/>
      <c r="V92" s="1"/>
      <c r="W92" s="1"/>
      <c r="X92" s="1"/>
      <c r="Y92" s="1"/>
      <c r="Z92" s="1"/>
      <c r="AA92" s="1"/>
      <c r="AB92" s="1"/>
      <c r="AC92" s="1"/>
    </row>
    <row r="93" spans="1:29" x14ac:dyDescent="0.3">
      <c r="A93" s="119" t="s">
        <v>58</v>
      </c>
      <c r="B93" s="120">
        <v>0.34</v>
      </c>
      <c r="C93" s="121">
        <v>0.31</v>
      </c>
      <c r="D93" s="122">
        <v>0.38</v>
      </c>
      <c r="E93" s="122">
        <v>0.45</v>
      </c>
      <c r="F93" s="121">
        <v>0.34</v>
      </c>
      <c r="G93" s="123">
        <v>0.55000000000000004</v>
      </c>
      <c r="H93" s="120">
        <v>0.33</v>
      </c>
      <c r="I93" s="121">
        <v>0.24</v>
      </c>
      <c r="J93" s="122">
        <v>0.41</v>
      </c>
      <c r="K93" s="122">
        <v>0.36</v>
      </c>
      <c r="L93" s="121">
        <v>0.55000000000000004</v>
      </c>
      <c r="M93" s="123">
        <v>0.17</v>
      </c>
      <c r="N93" s="223">
        <v>0.35</v>
      </c>
      <c r="T93" s="1"/>
      <c r="U93" s="1"/>
      <c r="V93" s="1"/>
      <c r="W93" s="1"/>
      <c r="X93" s="1"/>
      <c r="Y93" s="1"/>
      <c r="Z93" s="1"/>
      <c r="AA93" s="1"/>
      <c r="AB93" s="1"/>
      <c r="AC93" s="1"/>
    </row>
    <row r="94" spans="1:29" x14ac:dyDescent="0.3">
      <c r="A94" s="118" t="s">
        <v>59</v>
      </c>
      <c r="B94" s="115">
        <v>0.34</v>
      </c>
      <c r="C94" s="53">
        <v>0.23</v>
      </c>
      <c r="D94" s="53">
        <v>0.45</v>
      </c>
      <c r="E94" s="53">
        <v>0.4</v>
      </c>
      <c r="F94" s="53">
        <v>0.35</v>
      </c>
      <c r="G94" s="116">
        <v>0.45</v>
      </c>
      <c r="H94" s="115">
        <v>0.5</v>
      </c>
      <c r="I94" s="53">
        <v>0.37</v>
      </c>
      <c r="J94" s="53">
        <v>0.63</v>
      </c>
      <c r="K94" s="53">
        <v>0.33</v>
      </c>
      <c r="L94" s="53">
        <v>0.3</v>
      </c>
      <c r="M94" s="116">
        <v>0.37</v>
      </c>
      <c r="N94" s="223">
        <v>0.35</v>
      </c>
      <c r="T94" s="1"/>
      <c r="U94" s="1"/>
      <c r="V94" s="1"/>
      <c r="W94" s="1"/>
      <c r="X94" s="1"/>
      <c r="Y94" s="1"/>
      <c r="Z94" s="1"/>
      <c r="AA94" s="1"/>
      <c r="AB94" s="1"/>
      <c r="AC94" s="1"/>
    </row>
    <row r="95" spans="1:29" x14ac:dyDescent="0.3">
      <c r="A95" s="119" t="s">
        <v>2</v>
      </c>
      <c r="B95" s="120">
        <v>0.5</v>
      </c>
      <c r="C95" s="121">
        <v>0.33</v>
      </c>
      <c r="D95" s="121">
        <v>0.67</v>
      </c>
      <c r="E95" s="121">
        <v>0.48</v>
      </c>
      <c r="F95" s="121">
        <v>0.56999999999999995</v>
      </c>
      <c r="G95" s="123">
        <v>0.4</v>
      </c>
      <c r="H95" s="120">
        <v>0.38</v>
      </c>
      <c r="I95" s="121">
        <v>0.2</v>
      </c>
      <c r="J95" s="121">
        <v>0.56999999999999995</v>
      </c>
      <c r="K95" s="121">
        <v>0.27</v>
      </c>
      <c r="L95" s="121">
        <v>0.23</v>
      </c>
      <c r="M95" s="123">
        <v>0.3</v>
      </c>
      <c r="N95" s="1"/>
      <c r="T95" s="1"/>
      <c r="U95" s="1"/>
      <c r="V95" s="1"/>
      <c r="W95" s="1"/>
      <c r="X95" s="1"/>
      <c r="Y95" s="1"/>
      <c r="Z95" s="1"/>
      <c r="AA95" s="1"/>
      <c r="AB95" s="1"/>
      <c r="AC95" s="1"/>
    </row>
    <row r="96" spans="1:29" x14ac:dyDescent="0.3">
      <c r="A96" s="118" t="s">
        <v>60</v>
      </c>
      <c r="B96" s="115">
        <v>0.5</v>
      </c>
      <c r="C96" s="53">
        <v>0.35</v>
      </c>
      <c r="D96" s="53">
        <v>0.65</v>
      </c>
      <c r="E96" s="53">
        <v>0.45</v>
      </c>
      <c r="F96" s="53">
        <v>0.45</v>
      </c>
      <c r="G96" s="54">
        <v>0.45</v>
      </c>
      <c r="H96" s="115">
        <v>0.61</v>
      </c>
      <c r="I96" s="53">
        <v>0.65</v>
      </c>
      <c r="J96" s="54">
        <v>0.57999999999999996</v>
      </c>
      <c r="K96" s="54">
        <v>0.4</v>
      </c>
      <c r="L96" s="53">
        <v>0.48</v>
      </c>
      <c r="M96" s="116">
        <v>0.32</v>
      </c>
      <c r="N96" s="1"/>
      <c r="T96" s="1"/>
      <c r="U96" s="1"/>
      <c r="V96" s="1"/>
      <c r="W96" s="1"/>
      <c r="X96" s="1"/>
      <c r="Y96" s="1"/>
      <c r="Z96" s="1"/>
      <c r="AA96" s="1"/>
      <c r="AB96" s="1"/>
      <c r="AC96" s="1"/>
    </row>
    <row r="97" spans="1:29" x14ac:dyDescent="0.3">
      <c r="A97" s="119" t="s">
        <v>61</v>
      </c>
      <c r="B97" s="120"/>
      <c r="C97" s="121"/>
      <c r="D97" s="121"/>
      <c r="E97" s="121"/>
      <c r="F97" s="121"/>
      <c r="G97" s="123"/>
      <c r="H97" s="120"/>
      <c r="I97" s="121"/>
      <c r="J97" s="121"/>
      <c r="K97" s="121"/>
      <c r="L97" s="121"/>
      <c r="M97" s="123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</row>
    <row r="98" spans="1:29" x14ac:dyDescent="0.3">
      <c r="A98" s="118" t="s">
        <v>62</v>
      </c>
      <c r="B98" s="115"/>
      <c r="C98" s="53"/>
      <c r="D98" s="53"/>
      <c r="E98" s="53"/>
      <c r="F98" s="53"/>
      <c r="G98" s="116"/>
      <c r="H98" s="115"/>
      <c r="I98" s="53"/>
      <c r="J98" s="53"/>
      <c r="K98" s="53"/>
      <c r="L98" s="53"/>
      <c r="M98" s="116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</row>
    <row r="99" spans="1:29" x14ac:dyDescent="0.3">
      <c r="A99" s="119" t="s">
        <v>63</v>
      </c>
      <c r="B99" s="120"/>
      <c r="C99" s="121"/>
      <c r="D99" s="121"/>
      <c r="E99" s="121"/>
      <c r="F99" s="121"/>
      <c r="G99" s="123"/>
      <c r="H99" s="120"/>
      <c r="I99" s="121"/>
      <c r="J99" s="121"/>
      <c r="K99" s="121"/>
      <c r="L99" s="121"/>
      <c r="M99" s="123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</row>
    <row r="100" spans="1:29" x14ac:dyDescent="0.3">
      <c r="A100" s="118" t="s">
        <v>64</v>
      </c>
      <c r="B100" s="115"/>
      <c r="C100" s="53"/>
      <c r="D100" s="53"/>
      <c r="E100" s="53"/>
      <c r="F100" s="53"/>
      <c r="G100" s="116"/>
      <c r="H100" s="115"/>
      <c r="I100" s="53"/>
      <c r="J100" s="53"/>
      <c r="K100" s="53"/>
      <c r="L100" s="53"/>
      <c r="M100" s="116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</row>
    <row r="101" spans="1:29" x14ac:dyDescent="0.3">
      <c r="A101" s="119" t="s">
        <v>65</v>
      </c>
      <c r="B101" s="120"/>
      <c r="C101" s="121"/>
      <c r="D101" s="121"/>
      <c r="E101" s="121"/>
      <c r="F101" s="121"/>
      <c r="G101" s="123"/>
      <c r="H101" s="120"/>
      <c r="I101" s="121"/>
      <c r="J101" s="121"/>
      <c r="K101" s="121"/>
      <c r="L101" s="121"/>
      <c r="M101" s="123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</row>
    <row r="102" spans="1:29" x14ac:dyDescent="0.3">
      <c r="A102" s="118" t="s">
        <v>66</v>
      </c>
      <c r="B102" s="115"/>
      <c r="C102" s="53"/>
      <c r="D102" s="53"/>
      <c r="E102" s="53"/>
      <c r="F102" s="53"/>
      <c r="G102" s="116"/>
      <c r="H102" s="115"/>
      <c r="I102" s="53"/>
      <c r="J102" s="53"/>
      <c r="K102" s="53"/>
      <c r="L102" s="53"/>
      <c r="M102" s="116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</row>
    <row r="103" spans="1:29" x14ac:dyDescent="0.3">
      <c r="A103" s="119" t="s">
        <v>67</v>
      </c>
      <c r="B103" s="120"/>
      <c r="C103" s="121"/>
      <c r="D103" s="121"/>
      <c r="E103" s="121"/>
      <c r="F103" s="121"/>
      <c r="G103" s="123"/>
      <c r="H103" s="120"/>
      <c r="I103" s="121"/>
      <c r="J103" s="121"/>
      <c r="K103" s="121"/>
      <c r="L103" s="121"/>
      <c r="M103" s="123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</row>
    <row r="104" spans="1:29" ht="15" thickBot="1" x14ac:dyDescent="0.35">
      <c r="A104" s="124" t="s">
        <v>14</v>
      </c>
      <c r="B104" s="125">
        <v>0.43</v>
      </c>
      <c r="C104" s="126">
        <v>0.28999999999999998</v>
      </c>
      <c r="D104" s="126">
        <v>0.56999999999999995</v>
      </c>
      <c r="E104" s="126">
        <v>0.39</v>
      </c>
      <c r="F104" s="126">
        <v>0.36</v>
      </c>
      <c r="G104" s="127">
        <v>0.41</v>
      </c>
      <c r="H104" s="125">
        <v>0.56000000000000005</v>
      </c>
      <c r="I104" s="126">
        <v>0.52</v>
      </c>
      <c r="J104" s="126">
        <v>0.61</v>
      </c>
      <c r="K104" s="126">
        <v>0.33</v>
      </c>
      <c r="L104" s="126">
        <v>0.38</v>
      </c>
      <c r="M104" s="127">
        <v>0.28000000000000003</v>
      </c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</row>
    <row r="105" spans="1:29" x14ac:dyDescent="0.3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</row>
    <row r="106" spans="1:29" x14ac:dyDescent="0.3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55"/>
      <c r="T106" s="55"/>
      <c r="U106" s="55"/>
      <c r="V106" s="55"/>
      <c r="W106" s="55"/>
      <c r="X106" s="55"/>
      <c r="Y106" s="1"/>
      <c r="Z106" s="1"/>
      <c r="AA106" s="1"/>
      <c r="AB106" s="1"/>
      <c r="AC106" s="1"/>
    </row>
    <row r="107" spans="1:29" ht="21" x14ac:dyDescent="0.4">
      <c r="A107" s="1"/>
      <c r="B107" s="652" t="s">
        <v>97</v>
      </c>
      <c r="C107" s="652"/>
      <c r="D107" s="652"/>
      <c r="E107" s="652"/>
      <c r="F107" s="113"/>
      <c r="G107" s="113"/>
      <c r="H107" s="113"/>
      <c r="I107" s="113"/>
      <c r="J107" s="113"/>
      <c r="K107" s="113"/>
      <c r="L107" s="113"/>
      <c r="M107" s="113"/>
      <c r="N107" s="48"/>
      <c r="O107" s="652" t="s">
        <v>98</v>
      </c>
      <c r="P107" s="652"/>
      <c r="Q107" s="652"/>
      <c r="R107" s="652"/>
      <c r="S107" s="652"/>
      <c r="T107" s="652"/>
      <c r="U107" s="652"/>
      <c r="V107" s="652"/>
      <c r="W107" s="652"/>
      <c r="X107" s="652"/>
      <c r="Y107" s="652"/>
      <c r="Z107" s="1"/>
      <c r="AA107" s="1"/>
      <c r="AB107" s="1"/>
      <c r="AC107" s="1"/>
    </row>
    <row r="108" spans="1:29" ht="15" hidden="1" customHeight="1" x14ac:dyDescent="0.3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</row>
    <row r="109" spans="1:29" x14ac:dyDescent="0.3">
      <c r="A109" s="1"/>
      <c r="B109" s="190" t="s">
        <v>13</v>
      </c>
      <c r="C109" s="190" t="s">
        <v>3</v>
      </c>
      <c r="D109" s="190" t="s">
        <v>10</v>
      </c>
      <c r="E109" s="648" t="s">
        <v>99</v>
      </c>
      <c r="F109" s="648"/>
      <c r="G109" s="648"/>
      <c r="H109" s="648"/>
      <c r="I109" s="648"/>
      <c r="J109" s="648"/>
      <c r="K109" s="648"/>
      <c r="L109" s="1"/>
      <c r="M109" s="1"/>
      <c r="N109" s="1"/>
      <c r="O109" s="190" t="s">
        <v>13</v>
      </c>
      <c r="P109" s="190" t="s">
        <v>3</v>
      </c>
      <c r="Q109" s="190" t="s">
        <v>10</v>
      </c>
      <c r="R109" s="651" t="s">
        <v>99</v>
      </c>
      <c r="S109" s="651"/>
      <c r="T109" s="651"/>
      <c r="U109" s="651"/>
      <c r="V109" s="651"/>
      <c r="W109" s="651"/>
      <c r="X109" s="651"/>
      <c r="Y109" s="651"/>
      <c r="Z109" s="1"/>
      <c r="AA109" s="1"/>
      <c r="AB109" s="1"/>
      <c r="AC109" s="1"/>
    </row>
    <row r="110" spans="1:29" x14ac:dyDescent="0.3">
      <c r="A110" s="1"/>
      <c r="B110" s="189" t="s">
        <v>57</v>
      </c>
      <c r="C110" s="56"/>
      <c r="D110" s="56"/>
      <c r="E110" s="628"/>
      <c r="F110" s="628"/>
      <c r="G110" s="628"/>
      <c r="H110" s="628"/>
      <c r="I110" s="628"/>
      <c r="J110" s="628"/>
      <c r="K110" s="628"/>
      <c r="L110" s="628"/>
      <c r="M110" s="628"/>
      <c r="N110" s="55"/>
      <c r="O110" s="189" t="s">
        <v>57</v>
      </c>
      <c r="P110" s="56"/>
      <c r="Q110" s="56"/>
      <c r="R110" s="629"/>
      <c r="S110" s="660"/>
      <c r="T110" s="660"/>
      <c r="U110" s="660"/>
      <c r="V110" s="660"/>
      <c r="W110" s="660"/>
      <c r="X110" s="660"/>
      <c r="Y110" s="639"/>
      <c r="Z110" s="1"/>
      <c r="AA110" s="1"/>
      <c r="AB110" s="1"/>
      <c r="AC110" s="1"/>
    </row>
    <row r="111" spans="1:29" x14ac:dyDescent="0.3">
      <c r="A111" s="1"/>
      <c r="B111" s="191" t="s">
        <v>58</v>
      </c>
      <c r="C111" s="114"/>
      <c r="D111" s="114"/>
      <c r="E111" s="661"/>
      <c r="F111" s="661"/>
      <c r="G111" s="661"/>
      <c r="H111" s="661"/>
      <c r="I111" s="661"/>
      <c r="J111" s="661"/>
      <c r="K111" s="661"/>
      <c r="L111" s="661"/>
      <c r="M111" s="661"/>
      <c r="N111" s="1"/>
      <c r="O111" s="191" t="s">
        <v>58</v>
      </c>
      <c r="P111" s="114"/>
      <c r="Q111" s="114"/>
      <c r="R111" s="657"/>
      <c r="S111" s="658"/>
      <c r="T111" s="658"/>
      <c r="U111" s="658"/>
      <c r="V111" s="658"/>
      <c r="W111" s="658"/>
      <c r="X111" s="658"/>
      <c r="Y111" s="659"/>
      <c r="Z111" s="1"/>
      <c r="AA111" s="1"/>
      <c r="AB111" s="1"/>
      <c r="AC111" s="1"/>
    </row>
    <row r="112" spans="1:29" x14ac:dyDescent="0.3">
      <c r="A112" s="1"/>
      <c r="B112" s="189" t="s">
        <v>59</v>
      </c>
      <c r="C112" s="56"/>
      <c r="D112" s="56"/>
      <c r="E112" s="628"/>
      <c r="F112" s="628"/>
      <c r="G112" s="628"/>
      <c r="H112" s="628"/>
      <c r="I112" s="628"/>
      <c r="J112" s="628"/>
      <c r="K112" s="628"/>
      <c r="L112" s="628"/>
      <c r="M112" s="628"/>
      <c r="N112" s="1"/>
      <c r="O112" s="189" t="s">
        <v>59</v>
      </c>
      <c r="P112" s="56"/>
      <c r="Q112" s="56"/>
      <c r="R112" s="629"/>
      <c r="S112" s="660"/>
      <c r="T112" s="660"/>
      <c r="U112" s="660"/>
      <c r="V112" s="660"/>
      <c r="W112" s="660"/>
      <c r="X112" s="660"/>
      <c r="Y112" s="639"/>
      <c r="Z112" s="1"/>
      <c r="AA112" s="1"/>
      <c r="AB112" s="1"/>
      <c r="AC112" s="1"/>
    </row>
    <row r="113" spans="1:29" x14ac:dyDescent="0.3">
      <c r="A113" s="1"/>
      <c r="B113" s="191" t="s">
        <v>2</v>
      </c>
      <c r="C113" s="114"/>
      <c r="D113" s="114"/>
      <c r="E113" s="661"/>
      <c r="F113" s="661"/>
      <c r="G113" s="661"/>
      <c r="H113" s="661"/>
      <c r="I113" s="661"/>
      <c r="J113" s="661"/>
      <c r="K113" s="661"/>
      <c r="L113" s="661"/>
      <c r="M113" s="661"/>
      <c r="N113" s="1"/>
      <c r="O113" s="191" t="s">
        <v>2</v>
      </c>
      <c r="P113" s="114"/>
      <c r="Q113" s="114"/>
      <c r="R113" s="657"/>
      <c r="S113" s="658"/>
      <c r="T113" s="658"/>
      <c r="U113" s="658"/>
      <c r="V113" s="658"/>
      <c r="W113" s="658"/>
      <c r="X113" s="658"/>
      <c r="Y113" s="659"/>
      <c r="Z113" s="1"/>
      <c r="AA113" s="1"/>
      <c r="AB113" s="1"/>
      <c r="AC113" s="1"/>
    </row>
    <row r="114" spans="1:29" x14ac:dyDescent="0.3">
      <c r="A114" s="1"/>
      <c r="B114" s="189" t="s">
        <v>60</v>
      </c>
      <c r="C114" s="56">
        <v>108</v>
      </c>
      <c r="D114" s="56">
        <v>49</v>
      </c>
      <c r="E114" s="628"/>
      <c r="F114" s="628"/>
      <c r="G114" s="628"/>
      <c r="H114" s="628"/>
      <c r="I114" s="628"/>
      <c r="J114" s="628"/>
      <c r="K114" s="628"/>
      <c r="L114" s="628"/>
      <c r="M114" s="628"/>
      <c r="N114" s="1"/>
      <c r="O114" s="189" t="s">
        <v>60</v>
      </c>
      <c r="P114" s="56"/>
      <c r="Q114" s="56"/>
      <c r="R114" s="629"/>
      <c r="S114" s="660"/>
      <c r="T114" s="660"/>
      <c r="U114" s="660"/>
      <c r="V114" s="660"/>
      <c r="W114" s="660"/>
      <c r="X114" s="660"/>
      <c r="Y114" s="639"/>
      <c r="Z114" s="1"/>
      <c r="AA114" s="1"/>
      <c r="AB114" s="1"/>
      <c r="AC114" s="1"/>
    </row>
    <row r="115" spans="1:29" x14ac:dyDescent="0.3">
      <c r="A115" s="1"/>
      <c r="B115" s="191" t="s">
        <v>61</v>
      </c>
      <c r="C115" s="114"/>
      <c r="D115" s="114"/>
      <c r="E115" s="661"/>
      <c r="F115" s="661"/>
      <c r="G115" s="661"/>
      <c r="H115" s="661"/>
      <c r="I115" s="661"/>
      <c r="J115" s="661"/>
      <c r="K115" s="661"/>
      <c r="L115" s="661"/>
      <c r="M115" s="661"/>
      <c r="N115" s="1"/>
      <c r="O115" s="191" t="s">
        <v>61</v>
      </c>
      <c r="P115" s="114"/>
      <c r="Q115" s="114"/>
      <c r="R115" s="657"/>
      <c r="S115" s="658"/>
      <c r="T115" s="658"/>
      <c r="U115" s="658"/>
      <c r="V115" s="658"/>
      <c r="W115" s="658"/>
      <c r="X115" s="658"/>
      <c r="Y115" s="659"/>
      <c r="Z115" s="1"/>
      <c r="AA115" s="1"/>
      <c r="AB115" s="1"/>
      <c r="AC115" s="1"/>
    </row>
    <row r="116" spans="1:29" x14ac:dyDescent="0.3">
      <c r="A116" s="1"/>
      <c r="B116" s="189" t="s">
        <v>62</v>
      </c>
      <c r="C116" s="56"/>
      <c r="D116" s="56"/>
      <c r="E116" s="628"/>
      <c r="F116" s="628"/>
      <c r="G116" s="628"/>
      <c r="H116" s="628"/>
      <c r="I116" s="628"/>
      <c r="J116" s="628"/>
      <c r="K116" s="628"/>
      <c r="L116" s="628"/>
      <c r="M116" s="628"/>
      <c r="N116" s="1"/>
      <c r="O116" s="189" t="s">
        <v>62</v>
      </c>
      <c r="P116" s="56"/>
      <c r="Q116" s="56"/>
      <c r="R116" s="629"/>
      <c r="S116" s="660"/>
      <c r="T116" s="660"/>
      <c r="U116" s="660"/>
      <c r="V116" s="660"/>
      <c r="W116" s="660"/>
      <c r="X116" s="660"/>
      <c r="Y116" s="639"/>
      <c r="Z116" s="1"/>
      <c r="AA116" s="1"/>
      <c r="AB116" s="1"/>
      <c r="AC116" s="1"/>
    </row>
    <row r="117" spans="1:29" x14ac:dyDescent="0.3">
      <c r="A117" s="1"/>
      <c r="B117" s="191" t="s">
        <v>63</v>
      </c>
      <c r="C117" s="114"/>
      <c r="D117" s="114"/>
      <c r="E117" s="661"/>
      <c r="F117" s="661"/>
      <c r="G117" s="661"/>
      <c r="H117" s="661"/>
      <c r="I117" s="661"/>
      <c r="J117" s="661"/>
      <c r="K117" s="661"/>
      <c r="L117" s="661"/>
      <c r="M117" s="661"/>
      <c r="N117" s="1"/>
      <c r="O117" s="191" t="s">
        <v>63</v>
      </c>
      <c r="P117" s="114"/>
      <c r="Q117" s="114"/>
      <c r="R117" s="657"/>
      <c r="S117" s="658"/>
      <c r="T117" s="658"/>
      <c r="U117" s="658"/>
      <c r="V117" s="658"/>
      <c r="W117" s="658"/>
      <c r="X117" s="658"/>
      <c r="Y117" s="659"/>
      <c r="Z117" s="1"/>
      <c r="AA117" s="1"/>
      <c r="AB117" s="1"/>
      <c r="AC117" s="1"/>
    </row>
    <row r="118" spans="1:29" x14ac:dyDescent="0.3">
      <c r="A118" s="1"/>
      <c r="B118" s="189" t="s">
        <v>64</v>
      </c>
      <c r="C118" s="56"/>
      <c r="D118" s="56"/>
      <c r="E118" s="628"/>
      <c r="F118" s="628"/>
      <c r="G118" s="628"/>
      <c r="H118" s="628"/>
      <c r="I118" s="628"/>
      <c r="J118" s="628"/>
      <c r="K118" s="628"/>
      <c r="L118" s="628"/>
      <c r="M118" s="628"/>
      <c r="N118" s="1"/>
      <c r="O118" s="189" t="s">
        <v>64</v>
      </c>
      <c r="P118" s="56"/>
      <c r="Q118" s="56"/>
      <c r="R118" s="629"/>
      <c r="S118" s="660"/>
      <c r="T118" s="660"/>
      <c r="U118" s="660"/>
      <c r="V118" s="660"/>
      <c r="W118" s="660"/>
      <c r="X118" s="660"/>
      <c r="Y118" s="639"/>
      <c r="Z118" s="1"/>
      <c r="AA118" s="1"/>
      <c r="AB118" s="1"/>
      <c r="AC118" s="1"/>
    </row>
    <row r="119" spans="1:29" x14ac:dyDescent="0.3">
      <c r="A119" s="1"/>
      <c r="B119" s="191" t="s">
        <v>65</v>
      </c>
      <c r="C119" s="114"/>
      <c r="D119" s="114"/>
      <c r="E119" s="661"/>
      <c r="F119" s="661"/>
      <c r="G119" s="661"/>
      <c r="H119" s="661"/>
      <c r="I119" s="661"/>
      <c r="J119" s="661"/>
      <c r="K119" s="661"/>
      <c r="L119" s="661"/>
      <c r="M119" s="661"/>
      <c r="N119" s="1"/>
      <c r="O119" s="191" t="s">
        <v>65</v>
      </c>
      <c r="P119" s="114"/>
      <c r="Q119" s="114"/>
      <c r="R119" s="657"/>
      <c r="S119" s="658"/>
      <c r="T119" s="658"/>
      <c r="U119" s="658"/>
      <c r="V119" s="658"/>
      <c r="W119" s="658"/>
      <c r="X119" s="658"/>
      <c r="Y119" s="659"/>
      <c r="Z119" s="1"/>
      <c r="AA119" s="1"/>
      <c r="AB119" s="1"/>
      <c r="AC119" s="1"/>
    </row>
    <row r="120" spans="1:29" x14ac:dyDescent="0.3">
      <c r="A120" s="1"/>
      <c r="B120" s="189" t="s">
        <v>66</v>
      </c>
      <c r="C120" s="56"/>
      <c r="D120" s="56"/>
      <c r="E120" s="628"/>
      <c r="F120" s="628"/>
      <c r="G120" s="628"/>
      <c r="H120" s="628"/>
      <c r="I120" s="628"/>
      <c r="J120" s="628"/>
      <c r="K120" s="628"/>
      <c r="L120" s="628"/>
      <c r="M120" s="628"/>
      <c r="N120" s="1"/>
      <c r="O120" s="189" t="s">
        <v>66</v>
      </c>
      <c r="P120" s="56"/>
      <c r="Q120" s="56"/>
      <c r="R120" s="629"/>
      <c r="S120" s="660"/>
      <c r="T120" s="660"/>
      <c r="U120" s="660"/>
      <c r="V120" s="660"/>
      <c r="W120" s="660"/>
      <c r="X120" s="660"/>
      <c r="Y120" s="639"/>
      <c r="Z120" s="1"/>
      <c r="AA120" s="1"/>
      <c r="AB120" s="1"/>
      <c r="AC120" s="1"/>
    </row>
    <row r="121" spans="1:29" x14ac:dyDescent="0.3">
      <c r="A121" s="1"/>
      <c r="B121" s="191" t="s">
        <v>67</v>
      </c>
      <c r="C121" s="114"/>
      <c r="D121" s="114"/>
      <c r="E121" s="661"/>
      <c r="F121" s="661"/>
      <c r="G121" s="661"/>
      <c r="H121" s="661"/>
      <c r="I121" s="661"/>
      <c r="J121" s="661"/>
      <c r="K121" s="661"/>
      <c r="L121" s="661"/>
      <c r="M121" s="661"/>
      <c r="N121" s="1"/>
      <c r="O121" s="191" t="s">
        <v>67</v>
      </c>
      <c r="P121" s="114"/>
      <c r="Q121" s="114"/>
      <c r="R121" s="657"/>
      <c r="S121" s="658"/>
      <c r="T121" s="658"/>
      <c r="U121" s="658"/>
      <c r="V121" s="658"/>
      <c r="W121" s="658"/>
      <c r="X121" s="658"/>
      <c r="Y121" s="659"/>
      <c r="Z121" s="1"/>
      <c r="AA121" s="1"/>
      <c r="AB121" s="1"/>
      <c r="AC121" s="1"/>
    </row>
    <row r="122" spans="1:29" x14ac:dyDescent="0.3">
      <c r="A122" s="1"/>
      <c r="B122" s="194" t="s">
        <v>21</v>
      </c>
      <c r="C122" s="65">
        <f>SUM(C110:C121)</f>
        <v>108</v>
      </c>
      <c r="D122" s="65">
        <f>SUM(D110:D121)</f>
        <v>49</v>
      </c>
      <c r="E122" s="628"/>
      <c r="F122" s="628"/>
      <c r="G122" s="628"/>
      <c r="H122" s="628"/>
      <c r="I122" s="628"/>
      <c r="J122" s="628"/>
      <c r="K122" s="628"/>
      <c r="L122" s="628"/>
      <c r="M122" s="628"/>
      <c r="N122" s="1"/>
      <c r="O122" s="189" t="s">
        <v>21</v>
      </c>
      <c r="P122" s="56">
        <f>SUM(P110:P121)</f>
        <v>0</v>
      </c>
      <c r="Q122" s="56">
        <f>SUM(Q110:Q121)</f>
        <v>0</v>
      </c>
      <c r="R122" s="629"/>
      <c r="S122" s="660"/>
      <c r="T122" s="660"/>
      <c r="U122" s="660"/>
      <c r="V122" s="660"/>
      <c r="W122" s="660"/>
      <c r="X122" s="660"/>
      <c r="Y122" s="639"/>
      <c r="Z122" s="1"/>
      <c r="AA122" s="1"/>
      <c r="AB122" s="1"/>
      <c r="AC122" s="1"/>
    </row>
    <row r="123" spans="1:29" x14ac:dyDescent="0.3">
      <c r="A123" s="1"/>
      <c r="B123" s="153" t="s">
        <v>100</v>
      </c>
      <c r="C123" s="154">
        <f>C122/COUNTIF(C110:C121,"&gt;0")</f>
        <v>108</v>
      </c>
      <c r="D123" s="154">
        <f>D122/COUNTIF(D110:D121,"&gt;0")</f>
        <v>49</v>
      </c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</row>
    <row r="124" spans="1:29" x14ac:dyDescent="0.3">
      <c r="A124" s="1"/>
      <c r="B124" s="155" t="s">
        <v>101</v>
      </c>
      <c r="C124" s="156">
        <f>C122/(C68/1000)</f>
        <v>3.6829938101832736E-2</v>
      </c>
      <c r="D124" s="156">
        <f>D122/(N68/1000)</f>
        <v>2.7392895177452851E-2</v>
      </c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</row>
    <row r="125" spans="1:29" x14ac:dyDescent="0.3">
      <c r="A125" s="1"/>
      <c r="B125" s="153" t="s">
        <v>102</v>
      </c>
      <c r="C125" s="154">
        <f>C122/(D68)</f>
        <v>5.9213772684905972E-3</v>
      </c>
      <c r="D125" s="154">
        <f>D122/(O68)</f>
        <v>3.9843877053179376E-3</v>
      </c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</row>
    <row r="126" spans="1:29" x14ac:dyDescent="0.3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</row>
    <row r="127" spans="1:29" ht="15" thickBot="1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</row>
    <row r="128" spans="1:29" ht="15" thickBot="1" x14ac:dyDescent="0.35">
      <c r="A128" s="1"/>
      <c r="B128" s="68" t="s">
        <v>31</v>
      </c>
      <c r="C128" s="258" t="s">
        <v>57</v>
      </c>
      <c r="D128" s="258" t="s">
        <v>58</v>
      </c>
      <c r="E128" s="258" t="s">
        <v>59</v>
      </c>
      <c r="F128" s="258" t="s">
        <v>2</v>
      </c>
      <c r="G128" s="258" t="s">
        <v>60</v>
      </c>
      <c r="H128" s="258" t="s">
        <v>61</v>
      </c>
      <c r="I128" s="258" t="s">
        <v>62</v>
      </c>
      <c r="J128" s="258" t="s">
        <v>63</v>
      </c>
      <c r="K128" s="258" t="s">
        <v>64</v>
      </c>
      <c r="L128" s="258" t="s">
        <v>65</v>
      </c>
      <c r="M128" s="258" t="s">
        <v>66</v>
      </c>
      <c r="N128" s="281" t="s">
        <v>67</v>
      </c>
      <c r="O128" s="285" t="s">
        <v>14</v>
      </c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</row>
    <row r="129" spans="1:29" ht="15" thickBot="1" x14ac:dyDescent="0.35">
      <c r="A129" s="1"/>
      <c r="B129" s="284" t="s">
        <v>83</v>
      </c>
      <c r="C129" s="261" t="str">
        <f>IF(E11&lt;$S6,"OK","NOK")</f>
        <v>NOK</v>
      </c>
      <c r="D129" s="261" t="str">
        <f t="shared" ref="D129:N129" si="1">IF(F11&lt;$S6,"OK","NOK")</f>
        <v>NOK</v>
      </c>
      <c r="E129" s="261" t="str">
        <f t="shared" si="1"/>
        <v>NOK</v>
      </c>
      <c r="F129" s="261" t="str">
        <f t="shared" si="1"/>
        <v>NOK</v>
      </c>
      <c r="G129" s="261" t="str">
        <f t="shared" si="1"/>
        <v>NOK</v>
      </c>
      <c r="H129" s="261" t="str">
        <f t="shared" si="1"/>
        <v>OK</v>
      </c>
      <c r="I129" s="261" t="str">
        <f t="shared" si="1"/>
        <v>OK</v>
      </c>
      <c r="J129" s="261" t="str">
        <f t="shared" si="1"/>
        <v>OK</v>
      </c>
      <c r="K129" s="261" t="str">
        <f t="shared" si="1"/>
        <v>OK</v>
      </c>
      <c r="L129" s="261" t="str">
        <f t="shared" si="1"/>
        <v>OK</v>
      </c>
      <c r="M129" s="261" t="str">
        <f t="shared" si="1"/>
        <v>OK</v>
      </c>
      <c r="N129" s="261" t="str">
        <f t="shared" si="1"/>
        <v>OK</v>
      </c>
      <c r="O129" s="286">
        <f>+COUNTIF(C129:N129,"OK")</f>
        <v>7</v>
      </c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</row>
    <row r="130" spans="1:29" ht="15" thickBot="1" x14ac:dyDescent="0.35">
      <c r="A130" s="1"/>
      <c r="B130" s="304" t="s">
        <v>234</v>
      </c>
      <c r="C130" s="273" t="str">
        <f>IF(E9&gt;$H18,"OK","NOK")</f>
        <v>OK</v>
      </c>
      <c r="D130" s="273" t="str">
        <f>IF(F9&gt;$H10,"OK","NOK")</f>
        <v>OK</v>
      </c>
      <c r="E130" s="273" t="str">
        <f t="shared" ref="E130:N130" si="2">IF(G9&gt;$H18,"OK","NOK")</f>
        <v>OK</v>
      </c>
      <c r="F130" s="273" t="str">
        <f t="shared" si="2"/>
        <v>OK</v>
      </c>
      <c r="G130" s="273" t="str">
        <f t="shared" si="2"/>
        <v>OK</v>
      </c>
      <c r="H130" s="273" t="e">
        <f t="shared" si="2"/>
        <v>#DIV/0!</v>
      </c>
      <c r="I130" s="273" t="e">
        <f t="shared" si="2"/>
        <v>#DIV/0!</v>
      </c>
      <c r="J130" s="273" t="e">
        <f t="shared" si="2"/>
        <v>#DIV/0!</v>
      </c>
      <c r="K130" s="273" t="e">
        <f t="shared" si="2"/>
        <v>#DIV/0!</v>
      </c>
      <c r="L130" s="273" t="e">
        <f t="shared" si="2"/>
        <v>#DIV/0!</v>
      </c>
      <c r="M130" s="273" t="e">
        <f t="shared" si="2"/>
        <v>#DIV/0!</v>
      </c>
      <c r="N130" s="273" t="e">
        <f t="shared" si="2"/>
        <v>#DIV/0!</v>
      </c>
      <c r="O130" s="287">
        <f t="shared" ref="O130:O143" si="3">+COUNTIF(C130:N130,"OK")</f>
        <v>5</v>
      </c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</row>
    <row r="131" spans="1:29" ht="15" thickBot="1" x14ac:dyDescent="0.35">
      <c r="A131" s="1"/>
      <c r="B131" s="304" t="s">
        <v>235</v>
      </c>
      <c r="C131" s="273" t="str">
        <f>IF(C73&lt;$S74,"OK","NOK")</f>
        <v>OK</v>
      </c>
      <c r="D131" s="273" t="str">
        <f>IF(C74&lt;$S74,"OK","NOK")</f>
        <v>OK</v>
      </c>
      <c r="E131" s="273" t="str">
        <f>IF(C75&lt;$S74,"OK","NOK")</f>
        <v>OK</v>
      </c>
      <c r="F131" s="273" t="str">
        <f>IF(C76&lt;$S74,"OK","NOK")</f>
        <v>OK</v>
      </c>
      <c r="G131" s="273" t="str">
        <f>IF(C77&lt;$S74,"OK","NOK")</f>
        <v>OK</v>
      </c>
      <c r="H131" s="273" t="str">
        <f>IF(C78&lt;$S74,"OK","NOK")</f>
        <v>OK</v>
      </c>
      <c r="I131" s="273" t="str">
        <f>IF(C79&lt;$S74,"OK","NOK")</f>
        <v>OK</v>
      </c>
      <c r="J131" s="273" t="str">
        <f>IF(C80&lt;$S74,"OK","NOK")</f>
        <v>OK</v>
      </c>
      <c r="K131" s="273" t="str">
        <f>IF(C81&lt;$S74,"OK","NOK")</f>
        <v>OK</v>
      </c>
      <c r="L131" s="273" t="str">
        <f>IF(C82&lt;$S74,"OK","NOK")</f>
        <v>OK</v>
      </c>
      <c r="M131" s="273" t="str">
        <f>IF(C83&lt;$S74,"OK","NOK")</f>
        <v>OK</v>
      </c>
      <c r="N131" s="273" t="str">
        <f>IF(C84&lt;$S74,"OK","NOK")</f>
        <v>OK</v>
      </c>
      <c r="O131" s="287">
        <f t="shared" si="3"/>
        <v>12</v>
      </c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</row>
    <row r="132" spans="1:29" ht="15" thickBot="1" x14ac:dyDescent="0.35">
      <c r="A132" s="1"/>
      <c r="B132" s="278" t="s">
        <v>236</v>
      </c>
      <c r="C132" s="274" t="str">
        <f>IF(B92&gt;$N93,"OK","NOK")</f>
        <v>OK</v>
      </c>
      <c r="D132" s="232" t="str">
        <f>IF(B93&gt;$N93,"OK","NOK")</f>
        <v>NOK</v>
      </c>
      <c r="E132" s="232" t="str">
        <f>IF(B94&gt;$N93,"OK","NOK")</f>
        <v>NOK</v>
      </c>
      <c r="F132" s="232" t="str">
        <f>IF(B95&gt;$N93,"OK","NOK")</f>
        <v>OK</v>
      </c>
      <c r="G132" s="232" t="str">
        <f>IF(B96&gt;$N93,"OK","NOK")</f>
        <v>OK</v>
      </c>
      <c r="H132" s="232" t="str">
        <f>IF(B97&gt;$N93,"OK","NOK")</f>
        <v>NOK</v>
      </c>
      <c r="I132" s="232" t="str">
        <f>IF(B98&gt;$N93,"OK","NOK")</f>
        <v>NOK</v>
      </c>
      <c r="J132" s="232" t="str">
        <f>IF(B99&gt;$N93,"OK","NOK")</f>
        <v>NOK</v>
      </c>
      <c r="K132" s="232" t="str">
        <f>IF(B100&gt;$N93,"OK","NOK")</f>
        <v>NOK</v>
      </c>
      <c r="L132" s="232" t="str">
        <f>IF(B101&gt;$N93,"OK","NOK")</f>
        <v>NOK</v>
      </c>
      <c r="M132" s="232" t="str">
        <f>IF(B102&gt;$N93,"OK","NOK")</f>
        <v>NOK</v>
      </c>
      <c r="N132" s="282" t="str">
        <f>IF(B103&gt;$N93,"OK","NOK")</f>
        <v>NOK</v>
      </c>
      <c r="O132" s="288">
        <f t="shared" si="3"/>
        <v>3</v>
      </c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</row>
    <row r="133" spans="1:29" ht="15" hidden="1" thickBot="1" x14ac:dyDescent="0.35">
      <c r="A133" s="1"/>
      <c r="B133" s="279"/>
      <c r="C133" s="275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50"/>
      <c r="O133" s="118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</row>
    <row r="134" spans="1:29" ht="15" hidden="1" thickBot="1" x14ac:dyDescent="0.35">
      <c r="A134" s="1"/>
      <c r="B134" s="279"/>
      <c r="C134" s="275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50"/>
      <c r="O134" s="118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</row>
    <row r="135" spans="1:29" ht="15" hidden="1" thickBot="1" x14ac:dyDescent="0.35">
      <c r="A135" s="1"/>
      <c r="B135" s="279"/>
      <c r="C135" s="275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50"/>
      <c r="O135" s="118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</row>
    <row r="136" spans="1:29" ht="15" hidden="1" thickBot="1" x14ac:dyDescent="0.35">
      <c r="A136" s="1"/>
      <c r="B136" s="279"/>
      <c r="C136" s="275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50"/>
      <c r="O136" s="118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</row>
    <row r="137" spans="1:29" ht="15" hidden="1" thickBot="1" x14ac:dyDescent="0.35">
      <c r="A137" s="1"/>
      <c r="B137" s="280"/>
      <c r="C137" s="275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50"/>
      <c r="O137" s="118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</row>
    <row r="138" spans="1:29" ht="15" thickBot="1" x14ac:dyDescent="0.35">
      <c r="A138" s="1"/>
      <c r="B138" s="305" t="s">
        <v>231</v>
      </c>
      <c r="C138" s="292">
        <f>COUNTIF(C129:C137,"OK")</f>
        <v>3</v>
      </c>
      <c r="D138" s="293">
        <f t="shared" ref="D138:N138" si="4">COUNTIF(D129:D137,"OK")</f>
        <v>2</v>
      </c>
      <c r="E138" s="293">
        <f t="shared" si="4"/>
        <v>2</v>
      </c>
      <c r="F138" s="293">
        <f t="shared" si="4"/>
        <v>3</v>
      </c>
      <c r="G138" s="293">
        <f t="shared" si="4"/>
        <v>3</v>
      </c>
      <c r="H138" s="293">
        <f t="shared" si="4"/>
        <v>2</v>
      </c>
      <c r="I138" s="293">
        <f t="shared" si="4"/>
        <v>2</v>
      </c>
      <c r="J138" s="293">
        <f t="shared" si="4"/>
        <v>2</v>
      </c>
      <c r="K138" s="293">
        <f t="shared" si="4"/>
        <v>2</v>
      </c>
      <c r="L138" s="293">
        <f t="shared" si="4"/>
        <v>2</v>
      </c>
      <c r="M138" s="293">
        <f t="shared" si="4"/>
        <v>2</v>
      </c>
      <c r="N138" s="294">
        <f t="shared" si="4"/>
        <v>2</v>
      </c>
      <c r="O138" s="295">
        <f>SUM(O129:O137)</f>
        <v>27</v>
      </c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</row>
    <row r="139" spans="1:29" ht="15" thickBot="1" x14ac:dyDescent="0.35">
      <c r="A139" s="1"/>
      <c r="B139" s="305" t="s">
        <v>232</v>
      </c>
      <c r="C139" s="296">
        <f>C138/9</f>
        <v>0.33333333333333331</v>
      </c>
      <c r="D139" s="297">
        <f t="shared" ref="D139:N139" si="5">D138/9</f>
        <v>0.22222222222222221</v>
      </c>
      <c r="E139" s="297">
        <f t="shared" si="5"/>
        <v>0.22222222222222221</v>
      </c>
      <c r="F139" s="297">
        <f t="shared" si="5"/>
        <v>0.33333333333333331</v>
      </c>
      <c r="G139" s="297">
        <f t="shared" si="5"/>
        <v>0.33333333333333331</v>
      </c>
      <c r="H139" s="297">
        <f t="shared" si="5"/>
        <v>0.22222222222222221</v>
      </c>
      <c r="I139" s="297">
        <f t="shared" si="5"/>
        <v>0.22222222222222221</v>
      </c>
      <c r="J139" s="297">
        <f t="shared" si="5"/>
        <v>0.22222222222222221</v>
      </c>
      <c r="K139" s="297">
        <f t="shared" si="5"/>
        <v>0.22222222222222221</v>
      </c>
      <c r="L139" s="297">
        <f t="shared" si="5"/>
        <v>0.22222222222222221</v>
      </c>
      <c r="M139" s="297">
        <f t="shared" si="5"/>
        <v>0.22222222222222221</v>
      </c>
      <c r="N139" s="298">
        <f t="shared" si="5"/>
        <v>0.22222222222222221</v>
      </c>
      <c r="O139" s="299">
        <f>O138/108</f>
        <v>0.25</v>
      </c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</row>
    <row r="140" spans="1:29" ht="15" thickBot="1" x14ac:dyDescent="0.35">
      <c r="A140" s="1"/>
      <c r="B140" s="284" t="s">
        <v>83</v>
      </c>
      <c r="C140" s="264" t="str">
        <f>IF(E12&lt;$S7,"OK","NOK")</f>
        <v>NOK</v>
      </c>
      <c r="D140" s="264" t="str">
        <f t="shared" ref="D140:N140" si="6">IF(F12&lt;$S7,"OK","NOK")</f>
        <v>NOK</v>
      </c>
      <c r="E140" s="264" t="str">
        <f t="shared" si="6"/>
        <v>NOK</v>
      </c>
      <c r="F140" s="264" t="str">
        <f t="shared" si="6"/>
        <v>NOK</v>
      </c>
      <c r="G140" s="264" t="str">
        <f t="shared" si="6"/>
        <v>NOK</v>
      </c>
      <c r="H140" s="264" t="str">
        <f t="shared" si="6"/>
        <v>OK</v>
      </c>
      <c r="I140" s="264" t="str">
        <f t="shared" si="6"/>
        <v>OK</v>
      </c>
      <c r="J140" s="264" t="str">
        <f t="shared" si="6"/>
        <v>OK</v>
      </c>
      <c r="K140" s="264" t="str">
        <f t="shared" si="6"/>
        <v>OK</v>
      </c>
      <c r="L140" s="264" t="str">
        <f t="shared" si="6"/>
        <v>OK</v>
      </c>
      <c r="M140" s="264" t="str">
        <f t="shared" si="6"/>
        <v>OK</v>
      </c>
      <c r="N140" s="264" t="str">
        <f t="shared" si="6"/>
        <v>OK</v>
      </c>
      <c r="O140" s="289">
        <f t="shared" si="3"/>
        <v>7</v>
      </c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</row>
    <row r="141" spans="1:29" ht="15" thickBot="1" x14ac:dyDescent="0.35">
      <c r="A141" s="1"/>
      <c r="B141" s="304" t="s">
        <v>234</v>
      </c>
      <c r="C141" s="276" t="str">
        <f>IF(E10&gt;$H19,"OK","NOK")</f>
        <v>OK</v>
      </c>
      <c r="D141" s="276" t="str">
        <f t="shared" ref="D141:N141" si="7">IF(F10&gt;$H19,"OK","NOK")</f>
        <v>OK</v>
      </c>
      <c r="E141" s="276" t="str">
        <f t="shared" si="7"/>
        <v>OK</v>
      </c>
      <c r="F141" s="276" t="str">
        <f t="shared" si="7"/>
        <v>OK</v>
      </c>
      <c r="G141" s="276" t="str">
        <f t="shared" si="7"/>
        <v>OK</v>
      </c>
      <c r="H141" s="276" t="e">
        <f t="shared" si="7"/>
        <v>#DIV/0!</v>
      </c>
      <c r="I141" s="276" t="e">
        <f t="shared" si="7"/>
        <v>#DIV/0!</v>
      </c>
      <c r="J141" s="276" t="e">
        <f t="shared" si="7"/>
        <v>#DIV/0!</v>
      </c>
      <c r="K141" s="276" t="e">
        <f t="shared" si="7"/>
        <v>#DIV/0!</v>
      </c>
      <c r="L141" s="276" t="e">
        <f t="shared" si="7"/>
        <v>#DIV/0!</v>
      </c>
      <c r="M141" s="276" t="e">
        <f t="shared" si="7"/>
        <v>#DIV/0!</v>
      </c>
      <c r="N141" s="276" t="e">
        <f t="shared" si="7"/>
        <v>#DIV/0!</v>
      </c>
      <c r="O141" s="290">
        <f t="shared" si="3"/>
        <v>5</v>
      </c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</row>
    <row r="142" spans="1:29" ht="15" thickBot="1" x14ac:dyDescent="0.35">
      <c r="A142" s="1"/>
      <c r="B142" s="304" t="s">
        <v>235</v>
      </c>
      <c r="C142" s="277" t="str">
        <f>IF(D73&lt;$S75,"OK","NOK")</f>
        <v>OK</v>
      </c>
      <c r="D142" s="272" t="str">
        <f>IF(D74&lt;$S75,"OK","NOK")</f>
        <v>OK</v>
      </c>
      <c r="E142" s="272" t="str">
        <f>IF(D75&lt;$S75,"OK","NOK")</f>
        <v>OK</v>
      </c>
      <c r="F142" s="272" t="str">
        <f>IF(D76&lt;$S75,"OK","NOK")</f>
        <v>OK</v>
      </c>
      <c r="G142" s="272" t="str">
        <f>IF(D77&lt;$S75,"OK","NOK")</f>
        <v>OK</v>
      </c>
      <c r="H142" s="272" t="str">
        <f>IF(D78&lt;$S75,"OK","NOK")</f>
        <v>OK</v>
      </c>
      <c r="I142" s="272" t="str">
        <f>IF(D79&lt;$S75,"OK","NOK")</f>
        <v>OK</v>
      </c>
      <c r="J142" s="272" t="str">
        <f>IF(D80&lt;$S75,"OK","NOK")</f>
        <v>OK</v>
      </c>
      <c r="K142" s="272" t="str">
        <f>IF(D81&lt;$S75,"OK","NOK")</f>
        <v>OK</v>
      </c>
      <c r="L142" s="272" t="str">
        <f>IF(D82&lt;$S75,"OK","NOK")</f>
        <v>OK</v>
      </c>
      <c r="M142" s="272" t="str">
        <f>IF(D83&lt;$S75,"OK","NOK")</f>
        <v>OK</v>
      </c>
      <c r="N142" s="283" t="str">
        <f>IF(C84&lt;$S75,"OK","NOK")</f>
        <v>OK</v>
      </c>
      <c r="O142" s="291">
        <f t="shared" si="3"/>
        <v>12</v>
      </c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</row>
    <row r="143" spans="1:29" x14ac:dyDescent="0.3">
      <c r="A143" s="1"/>
      <c r="B143" s="278" t="s">
        <v>236</v>
      </c>
      <c r="C143" s="274" t="str">
        <f>IF(H92&lt;$N94,"OK","NOK")</f>
        <v>NOK</v>
      </c>
      <c r="D143" s="232" t="str">
        <f>IF(H93&lt;$N94,"OK","NOK")</f>
        <v>OK</v>
      </c>
      <c r="E143" s="232" t="str">
        <f>IF(H94&lt;$N94,"OK","NOK")</f>
        <v>NOK</v>
      </c>
      <c r="F143" s="232" t="str">
        <f>IF(H95&lt;$N94,"OK","NOK")</f>
        <v>NOK</v>
      </c>
      <c r="G143" s="232" t="str">
        <f>IF(H96&lt;$N94,"OK","NOK")</f>
        <v>NOK</v>
      </c>
      <c r="H143" s="232" t="str">
        <f>IF(H97&lt;$N94,"OK","NOK")</f>
        <v>OK</v>
      </c>
      <c r="I143" s="232" t="str">
        <f>IF(H98&lt;$N94,"OK","NOK")</f>
        <v>OK</v>
      </c>
      <c r="J143" s="232" t="str">
        <f>IF(H99&lt;$N94,"OK","NOK")</f>
        <v>OK</v>
      </c>
      <c r="K143" s="232" t="str">
        <f>IF(H100&lt;$N94,"OK","NOK")</f>
        <v>OK</v>
      </c>
      <c r="L143" s="232" t="str">
        <f>IF(H101&lt;$N94,"OK","NOK")</f>
        <v>OK</v>
      </c>
      <c r="M143" s="232" t="str">
        <f>IF(H102&lt;$N94,"OK","NOK")</f>
        <v>OK</v>
      </c>
      <c r="N143" s="282" t="str">
        <f>IF(B103&lt;$N94,"OK","NOK")</f>
        <v>OK</v>
      </c>
      <c r="O143" s="288">
        <f t="shared" si="3"/>
        <v>8</v>
      </c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</row>
    <row r="144" spans="1:29" x14ac:dyDescent="0.3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</row>
    <row r="145" spans="1:29" x14ac:dyDescent="0.3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</row>
    <row r="146" spans="1:29" x14ac:dyDescent="0.3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</row>
    <row r="147" spans="1:29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</row>
    <row r="148" spans="1:29" ht="15" thickBot="1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</row>
    <row r="149" spans="1:29" ht="15" thickBot="1" x14ac:dyDescent="0.35">
      <c r="A149" s="1"/>
      <c r="B149" s="305" t="s">
        <v>231</v>
      </c>
      <c r="C149" s="292">
        <f>COUNTIF(C140:C148,"OK")</f>
        <v>2</v>
      </c>
      <c r="D149" s="293">
        <f t="shared" ref="D149:O149" si="8">COUNTIF(D140:D148,"OK")</f>
        <v>3</v>
      </c>
      <c r="E149" s="293">
        <f t="shared" si="8"/>
        <v>2</v>
      </c>
      <c r="F149" s="293">
        <f t="shared" si="8"/>
        <v>2</v>
      </c>
      <c r="G149" s="293">
        <f t="shared" si="8"/>
        <v>2</v>
      </c>
      <c r="H149" s="293">
        <f t="shared" si="8"/>
        <v>3</v>
      </c>
      <c r="I149" s="293">
        <f t="shared" si="8"/>
        <v>3</v>
      </c>
      <c r="J149" s="293">
        <f t="shared" si="8"/>
        <v>3</v>
      </c>
      <c r="K149" s="293">
        <f t="shared" si="8"/>
        <v>3</v>
      </c>
      <c r="L149" s="293">
        <f t="shared" si="8"/>
        <v>3</v>
      </c>
      <c r="M149" s="293">
        <f t="shared" si="8"/>
        <v>3</v>
      </c>
      <c r="N149" s="294">
        <f t="shared" si="8"/>
        <v>3</v>
      </c>
      <c r="O149" s="295">
        <f t="shared" si="8"/>
        <v>0</v>
      </c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</row>
    <row r="150" spans="1:29" ht="15" thickBot="1" x14ac:dyDescent="0.35">
      <c r="A150" s="1"/>
      <c r="B150" s="305" t="s">
        <v>232</v>
      </c>
      <c r="C150" s="300">
        <f>C149/9</f>
        <v>0.22222222222222221</v>
      </c>
      <c r="D150" s="301">
        <f t="shared" ref="D150:N150" si="9">D149/9</f>
        <v>0.33333333333333331</v>
      </c>
      <c r="E150" s="301">
        <f t="shared" si="9"/>
        <v>0.22222222222222221</v>
      </c>
      <c r="F150" s="301">
        <f t="shared" si="9"/>
        <v>0.22222222222222221</v>
      </c>
      <c r="G150" s="301">
        <f t="shared" si="9"/>
        <v>0.22222222222222221</v>
      </c>
      <c r="H150" s="301">
        <f t="shared" si="9"/>
        <v>0.33333333333333331</v>
      </c>
      <c r="I150" s="301">
        <f t="shared" si="9"/>
        <v>0.33333333333333331</v>
      </c>
      <c r="J150" s="301">
        <f t="shared" si="9"/>
        <v>0.33333333333333331</v>
      </c>
      <c r="K150" s="301">
        <f t="shared" si="9"/>
        <v>0.33333333333333331</v>
      </c>
      <c r="L150" s="301">
        <f t="shared" si="9"/>
        <v>0.33333333333333331</v>
      </c>
      <c r="M150" s="301">
        <f t="shared" si="9"/>
        <v>0.33333333333333331</v>
      </c>
      <c r="N150" s="302">
        <f t="shared" si="9"/>
        <v>0.33333333333333331</v>
      </c>
      <c r="O150" s="303">
        <f>O149/108</f>
        <v>0</v>
      </c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</row>
    <row r="151" spans="1:29" x14ac:dyDescent="0.3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</row>
    <row r="152" spans="1:29" x14ac:dyDescent="0.3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</row>
    <row r="153" spans="1:29" x14ac:dyDescent="0.3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</row>
    <row r="154" spans="1:29" x14ac:dyDescent="0.3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</row>
    <row r="155" spans="1:29" x14ac:dyDescent="0.3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</row>
    <row r="156" spans="1:29" x14ac:dyDescent="0.3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</row>
    <row r="157" spans="1:29" x14ac:dyDescent="0.3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</row>
    <row r="158" spans="1:29" x14ac:dyDescent="0.3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</row>
    <row r="159" spans="1:29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</row>
    <row r="160" spans="1:29" x14ac:dyDescent="0.3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</row>
    <row r="161" spans="1:29" x14ac:dyDescent="0.3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</row>
    <row r="162" spans="1:29" x14ac:dyDescent="0.3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</row>
    <row r="163" spans="1:29" x14ac:dyDescent="0.3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</row>
    <row r="164" spans="1:29" x14ac:dyDescent="0.3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</row>
    <row r="165" spans="1:29" x14ac:dyDescent="0.3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</row>
    <row r="166" spans="1:29" x14ac:dyDescent="0.3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</row>
    <row r="167" spans="1:29" x14ac:dyDescent="0.3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</row>
  </sheetData>
  <mergeCells count="42">
    <mergeCell ref="E118:M118"/>
    <mergeCell ref="E117:M117"/>
    <mergeCell ref="E116:M116"/>
    <mergeCell ref="E115:M115"/>
    <mergeCell ref="E114:M114"/>
    <mergeCell ref="E113:M113"/>
    <mergeCell ref="E112:M112"/>
    <mergeCell ref="E111:M111"/>
    <mergeCell ref="E110:M110"/>
    <mergeCell ref="R120:Y120"/>
    <mergeCell ref="E119:M119"/>
    <mergeCell ref="R117:Y117"/>
    <mergeCell ref="R118:Y118"/>
    <mergeCell ref="R119:Y119"/>
    <mergeCell ref="R114:Y114"/>
    <mergeCell ref="R115:Y115"/>
    <mergeCell ref="R116:Y116"/>
    <mergeCell ref="R111:Y111"/>
    <mergeCell ref="R112:Y112"/>
    <mergeCell ref="R113:Y113"/>
    <mergeCell ref="R110:Y110"/>
    <mergeCell ref="R121:Y121"/>
    <mergeCell ref="R122:Y122"/>
    <mergeCell ref="E122:M122"/>
    <mergeCell ref="E121:M121"/>
    <mergeCell ref="E120:M120"/>
    <mergeCell ref="B107:E107"/>
    <mergeCell ref="E109:K109"/>
    <mergeCell ref="O107:Y107"/>
    <mergeCell ref="R109:Y109"/>
    <mergeCell ref="A90:A91"/>
    <mergeCell ref="B90:D90"/>
    <mergeCell ref="E90:G90"/>
    <mergeCell ref="H90:J90"/>
    <mergeCell ref="K90:M90"/>
    <mergeCell ref="B70:Q70"/>
    <mergeCell ref="B4:C4"/>
    <mergeCell ref="B5:C5"/>
    <mergeCell ref="B32:F32"/>
    <mergeCell ref="B2:Q2"/>
    <mergeCell ref="B30:Q30"/>
    <mergeCell ref="M32:Q32"/>
  </mergeCells>
  <conditionalFormatting sqref="C129:N138 C139:O139 C140:N143">
    <cfRule type="containsText" dxfId="315" priority="2" operator="containsText" text="NOK">
      <formula>NOT(ISERROR(SEARCH("NOK",C129)))</formula>
    </cfRule>
  </conditionalFormatting>
  <conditionalFormatting sqref="C150:O150">
    <cfRule type="containsText" dxfId="314" priority="1" operator="containsText" text="NOK">
      <formula>NOT(ISERROR(SEARCH("NOK",C150)))</formula>
    </cfRule>
  </conditionalFormatting>
  <conditionalFormatting sqref="D7:Q7">
    <cfRule type="containsErrors" dxfId="313" priority="19">
      <formula>ISERROR(D7)</formula>
    </cfRule>
  </conditionalFormatting>
  <conditionalFormatting sqref="D9:Q9">
    <cfRule type="containsErrors" dxfId="312" priority="18">
      <formula>ISERROR(D9)</formula>
    </cfRule>
  </conditionalFormatting>
  <conditionalFormatting sqref="D10:Q10">
    <cfRule type="containsErrors" dxfId="311" priority="21">
      <formula>ISERROR(D10)</formula>
    </cfRule>
  </conditionalFormatting>
  <conditionalFormatting sqref="D11:Q11 C36:F37 C39:F40 C42:F43 C45:F46 C48:F49 C51:F52 C54:F55 C57:F58 C60:F61 C63:F64 C66:F67">
    <cfRule type="containsErrors" dxfId="310" priority="20">
      <formula>ISERROR(C11)</formula>
    </cfRule>
  </conditionalFormatting>
  <conditionalFormatting sqref="E34:E35 E38 E41 E44 E47">
    <cfRule type="containsErrors" dxfId="309" priority="15">
      <formula>ISERROR(E34)</formula>
    </cfRule>
  </conditionalFormatting>
  <conditionalFormatting sqref="E50 E53 E56 E59 E65">
    <cfRule type="containsErrors" dxfId="308" priority="17">
      <formula>ISERROR(E50)</formula>
    </cfRule>
  </conditionalFormatting>
  <conditionalFormatting sqref="E62">
    <cfRule type="containsErrors" dxfId="307" priority="13">
      <formula>ISERROR(E62)</formula>
    </cfRule>
  </conditionalFormatting>
  <conditionalFormatting sqref="E68">
    <cfRule type="containsErrors" dxfId="306" priority="5">
      <formula>ISERROR(E68)</formula>
    </cfRule>
  </conditionalFormatting>
  <conditionalFormatting sqref="N36:Q37 N39:Q40">
    <cfRule type="containsErrors" dxfId="305" priority="8">
      <formula>ISERROR(N36)</formula>
    </cfRule>
  </conditionalFormatting>
  <conditionalFormatting sqref="N42:Q43 N45:Q46 N48:Q49 N51:Q52 N54:Q55 N57:Q58 N60:Q61 N63:Q64 N66:Q67">
    <cfRule type="containsErrors" dxfId="304" priority="3">
      <formula>ISERROR(N42)</formula>
    </cfRule>
  </conditionalFormatting>
  <conditionalFormatting sqref="P34:P62">
    <cfRule type="containsErrors" dxfId="303" priority="7">
      <formula>ISERROR(P34)</formula>
    </cfRule>
  </conditionalFormatting>
  <conditionalFormatting sqref="P65">
    <cfRule type="containsErrors" dxfId="302" priority="11">
      <formula>ISERROR(P65)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DA6D5F-B9D7-4162-9817-C65F6B576151}">
  <dimension ref="A2:AA210"/>
  <sheetViews>
    <sheetView zoomScale="80" zoomScaleNormal="80" workbookViewId="0">
      <selection activeCell="A28" sqref="A28"/>
    </sheetView>
  </sheetViews>
  <sheetFormatPr defaultRowHeight="14.4" x14ac:dyDescent="0.3"/>
  <cols>
    <col min="2" max="2" width="12.5546875" customWidth="1"/>
    <col min="3" max="3" width="10.5546875" customWidth="1"/>
    <col min="4" max="4" width="11.6640625" customWidth="1"/>
    <col min="5" max="25" width="10.5546875" customWidth="1"/>
  </cols>
  <sheetData>
    <row r="2" spans="1:16" ht="21" x14ac:dyDescent="0.4">
      <c r="A2" s="1"/>
      <c r="B2" s="652" t="s">
        <v>103</v>
      </c>
      <c r="C2" s="652"/>
      <c r="D2" s="652"/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1"/>
    </row>
    <row r="3" spans="1:16" x14ac:dyDescent="0.3">
      <c r="A3" s="1"/>
      <c r="B3" s="1"/>
      <c r="C3" s="2" t="s">
        <v>57</v>
      </c>
      <c r="D3" s="2" t="s">
        <v>58</v>
      </c>
      <c r="E3" s="2" t="s">
        <v>59</v>
      </c>
      <c r="F3" s="2" t="s">
        <v>2</v>
      </c>
      <c r="G3" s="2" t="s">
        <v>60</v>
      </c>
      <c r="H3" s="2" t="s">
        <v>61</v>
      </c>
      <c r="I3" s="2" t="s">
        <v>62</v>
      </c>
      <c r="J3" s="2" t="s">
        <v>63</v>
      </c>
      <c r="K3" s="2" t="s">
        <v>64</v>
      </c>
      <c r="L3" s="2" t="s">
        <v>65</v>
      </c>
      <c r="M3" s="2" t="s">
        <v>66</v>
      </c>
      <c r="N3" s="2" t="s">
        <v>67</v>
      </c>
      <c r="O3" s="2" t="s">
        <v>14</v>
      </c>
      <c r="P3" s="2" t="s">
        <v>215</v>
      </c>
    </row>
    <row r="4" spans="1:16" x14ac:dyDescent="0.3">
      <c r="A4" s="222" t="s">
        <v>218</v>
      </c>
      <c r="B4" s="3" t="s">
        <v>104</v>
      </c>
      <c r="C4" s="180">
        <v>0.2576</v>
      </c>
      <c r="D4" s="180">
        <v>0.26</v>
      </c>
      <c r="E4" s="180">
        <v>0.26129999999999998</v>
      </c>
      <c r="F4" s="201">
        <v>0.26129999999999998</v>
      </c>
      <c r="G4" s="201"/>
      <c r="H4" s="180"/>
      <c r="I4" s="180"/>
      <c r="J4" s="180"/>
      <c r="K4" s="180"/>
      <c r="L4" s="180"/>
      <c r="M4" s="180"/>
      <c r="N4" s="180"/>
      <c r="O4" s="180"/>
      <c r="P4" s="180"/>
    </row>
    <row r="5" spans="1:16" x14ac:dyDescent="0.3">
      <c r="A5" s="1"/>
      <c r="B5" s="3" t="s">
        <v>105</v>
      </c>
      <c r="C5" s="180">
        <v>1.5900000000000001E-2</v>
      </c>
      <c r="D5" s="180">
        <v>3.1199999999999999E-2</v>
      </c>
      <c r="E5" s="180">
        <v>3.0800000000000001E-2</v>
      </c>
      <c r="F5" s="201">
        <v>3.1E-2</v>
      </c>
      <c r="G5" s="201"/>
      <c r="H5" s="180"/>
      <c r="I5" s="180"/>
      <c r="J5" s="180"/>
      <c r="K5" s="180"/>
      <c r="L5" s="180"/>
      <c r="M5" s="180"/>
      <c r="N5" s="180"/>
      <c r="O5" s="180"/>
      <c r="P5" s="180"/>
    </row>
    <row r="6" spans="1:16" x14ac:dyDescent="0.3">
      <c r="A6" s="308">
        <v>7.0000000000000001E-3</v>
      </c>
      <c r="B6" s="3" t="s">
        <v>106</v>
      </c>
      <c r="C6" s="180">
        <v>8.2000000000000007E-3</v>
      </c>
      <c r="D6" s="180">
        <v>8.9999999999999993E-3</v>
      </c>
      <c r="E6" s="180">
        <v>9.1000000000000004E-3</v>
      </c>
      <c r="F6" s="201">
        <v>8.0000000000000002E-3</v>
      </c>
      <c r="G6" s="201"/>
      <c r="H6" s="180"/>
      <c r="I6" s="180"/>
      <c r="J6" s="180"/>
      <c r="K6" s="180"/>
      <c r="L6" s="180"/>
      <c r="M6" s="180"/>
      <c r="N6" s="180"/>
      <c r="O6" s="180"/>
      <c r="P6" s="180"/>
    </row>
    <row r="7" spans="1:16" x14ac:dyDescent="0.3">
      <c r="A7" s="308">
        <v>5.0000000000000001E-3</v>
      </c>
      <c r="B7" s="3" t="s">
        <v>107</v>
      </c>
      <c r="C7" s="180">
        <v>5.1999999999999998E-3</v>
      </c>
      <c r="D7" s="180">
        <v>5.0000000000000001E-3</v>
      </c>
      <c r="E7" s="180">
        <v>5.0000000000000001E-3</v>
      </c>
      <c r="F7" s="201">
        <v>5.0000000000000001E-3</v>
      </c>
      <c r="G7" s="201"/>
      <c r="H7" s="180"/>
      <c r="I7" s="180"/>
      <c r="J7" s="180"/>
      <c r="K7" s="180"/>
      <c r="L7" s="180"/>
      <c r="M7" s="180"/>
      <c r="N7" s="180"/>
      <c r="O7" s="180"/>
      <c r="P7" s="180"/>
    </row>
    <row r="8" spans="1:16" x14ac:dyDescent="0.3">
      <c r="A8" s="308"/>
      <c r="B8" s="3" t="s">
        <v>108</v>
      </c>
      <c r="C8" s="180">
        <v>1.6999999999999999E-3</v>
      </c>
      <c r="D8" s="180">
        <v>2.3999999999999998E-3</v>
      </c>
      <c r="E8" s="180">
        <v>2.7000000000000001E-3</v>
      </c>
      <c r="F8" s="201">
        <v>2E-3</v>
      </c>
      <c r="G8" s="201"/>
      <c r="H8" s="180"/>
      <c r="I8" s="180"/>
      <c r="J8" s="180"/>
      <c r="K8" s="180"/>
      <c r="L8" s="180"/>
      <c r="M8" s="180"/>
      <c r="N8" s="180"/>
      <c r="O8" s="180"/>
      <c r="P8" s="180"/>
    </row>
    <row r="9" spans="1:16" ht="15" thickBot="1" x14ac:dyDescent="0.35">
      <c r="A9" s="308"/>
      <c r="B9" s="72" t="s">
        <v>109</v>
      </c>
      <c r="C9" s="181">
        <v>0.2903</v>
      </c>
      <c r="D9" s="181">
        <v>0.31</v>
      </c>
      <c r="E9" s="186">
        <v>0.2772</v>
      </c>
      <c r="F9" s="186">
        <v>0.30609999999999998</v>
      </c>
      <c r="G9" s="186"/>
      <c r="H9" s="181"/>
      <c r="I9" s="181"/>
      <c r="J9" s="181"/>
      <c r="K9" s="181"/>
      <c r="L9" s="181"/>
      <c r="M9" s="181"/>
      <c r="N9" s="181"/>
      <c r="O9" s="181"/>
      <c r="P9" s="181"/>
    </row>
    <row r="10" spans="1:16" x14ac:dyDescent="0.3">
      <c r="A10" s="308"/>
      <c r="B10" s="73" t="s">
        <v>110</v>
      </c>
      <c r="C10" s="182">
        <v>0.24940000000000001</v>
      </c>
      <c r="D10" s="182">
        <v>0.2671</v>
      </c>
      <c r="E10" s="183">
        <v>0.27229999999999999</v>
      </c>
      <c r="F10" s="183">
        <v>0.25469999999999998</v>
      </c>
      <c r="G10" s="198"/>
      <c r="H10" s="183"/>
      <c r="I10" s="183"/>
      <c r="J10" s="183"/>
      <c r="K10" s="183"/>
      <c r="L10" s="183"/>
      <c r="M10" s="183"/>
      <c r="N10" s="183"/>
      <c r="O10" s="490"/>
      <c r="P10" s="490"/>
    </row>
    <row r="11" spans="1:16" x14ac:dyDescent="0.3">
      <c r="A11" s="308"/>
      <c r="B11" s="3" t="s">
        <v>111</v>
      </c>
      <c r="C11" s="184">
        <v>0.03</v>
      </c>
      <c r="D11" s="185">
        <v>3.1399999999999997E-2</v>
      </c>
      <c r="E11" s="185">
        <v>3.39E-2</v>
      </c>
      <c r="F11" s="185">
        <v>3.3799999999999997E-2</v>
      </c>
      <c r="G11" s="199"/>
      <c r="H11" s="185"/>
      <c r="I11" s="185"/>
      <c r="J11" s="185"/>
      <c r="K11" s="185"/>
      <c r="L11" s="185"/>
      <c r="M11" s="185"/>
      <c r="N11" s="185"/>
      <c r="O11" s="180"/>
      <c r="P11" s="180"/>
    </row>
    <row r="12" spans="1:16" x14ac:dyDescent="0.3">
      <c r="A12" s="308">
        <v>8.0000000000000002E-3</v>
      </c>
      <c r="B12" s="3" t="s">
        <v>112</v>
      </c>
      <c r="C12" s="184">
        <v>1.0500000000000001E-2</v>
      </c>
      <c r="D12" s="184">
        <v>9.4999999999999998E-3</v>
      </c>
      <c r="E12" s="185">
        <v>8.8999999999999999E-3</v>
      </c>
      <c r="F12" s="185">
        <v>9.7999999999999997E-3</v>
      </c>
      <c r="G12" s="199"/>
      <c r="H12" s="185"/>
      <c r="I12" s="185"/>
      <c r="J12" s="185"/>
      <c r="K12" s="185"/>
      <c r="L12" s="185"/>
      <c r="M12" s="185"/>
      <c r="N12" s="185"/>
      <c r="O12" s="180"/>
      <c r="P12" s="180"/>
    </row>
    <row r="13" spans="1:16" x14ac:dyDescent="0.3">
      <c r="A13" s="308">
        <v>5.0000000000000001E-3</v>
      </c>
      <c r="B13" s="3" t="s">
        <v>113</v>
      </c>
      <c r="C13" s="184">
        <v>7.1000000000000004E-3</v>
      </c>
      <c r="D13" s="184">
        <v>7.4000000000000003E-3</v>
      </c>
      <c r="E13" s="185">
        <v>6.8999999999999999E-3</v>
      </c>
      <c r="F13" s="185">
        <v>8.6E-3</v>
      </c>
      <c r="G13" s="199"/>
      <c r="H13" s="185"/>
      <c r="I13" s="185"/>
      <c r="J13" s="185"/>
      <c r="K13" s="185"/>
      <c r="L13" s="185"/>
      <c r="M13" s="185"/>
      <c r="N13" s="185"/>
      <c r="O13" s="180"/>
      <c r="P13" s="180"/>
    </row>
    <row r="14" spans="1:16" x14ac:dyDescent="0.3">
      <c r="A14" s="308"/>
      <c r="B14" s="3" t="s">
        <v>114</v>
      </c>
      <c r="C14" s="184">
        <v>2.5000000000000001E-3</v>
      </c>
      <c r="D14" s="184">
        <v>2.7000000000000001E-3</v>
      </c>
      <c r="E14" s="185">
        <v>3.3E-3</v>
      </c>
      <c r="F14" s="185">
        <v>2.8E-3</v>
      </c>
      <c r="G14" s="199"/>
      <c r="H14" s="185"/>
      <c r="I14" s="185"/>
      <c r="J14" s="185"/>
      <c r="K14" s="185"/>
      <c r="L14" s="185"/>
      <c r="M14" s="185"/>
      <c r="N14" s="185"/>
      <c r="O14" s="180"/>
      <c r="P14" s="180"/>
    </row>
    <row r="15" spans="1:16" ht="15" thickBot="1" x14ac:dyDescent="0.35">
      <c r="A15" s="308"/>
      <c r="B15" s="3" t="s">
        <v>115</v>
      </c>
      <c r="C15" s="181">
        <v>0.30199999999999999</v>
      </c>
      <c r="D15" s="181">
        <v>0.31809999999999999</v>
      </c>
      <c r="E15" s="185">
        <v>0.32529999999999998</v>
      </c>
      <c r="F15" s="185">
        <v>0.30969999999999998</v>
      </c>
      <c r="G15" s="185"/>
      <c r="H15" s="185"/>
      <c r="I15" s="185"/>
      <c r="J15" s="185"/>
      <c r="K15" s="185"/>
      <c r="L15" s="185"/>
      <c r="M15" s="185"/>
      <c r="N15" s="185"/>
      <c r="O15" s="180"/>
      <c r="P15" s="180"/>
    </row>
    <row r="31" spans="2:20" x14ac:dyDescent="0.3">
      <c r="B31" s="664" t="s">
        <v>116</v>
      </c>
      <c r="C31" s="664"/>
      <c r="D31" s="664"/>
      <c r="E31" s="664"/>
      <c r="F31" s="664"/>
      <c r="G31" s="664"/>
      <c r="H31" s="664"/>
      <c r="I31" s="664"/>
      <c r="J31" s="664"/>
      <c r="K31" s="664"/>
      <c r="L31" s="664"/>
      <c r="M31" s="664"/>
      <c r="N31" s="664"/>
      <c r="O31" s="664"/>
      <c r="P31" s="664"/>
      <c r="Q31" s="664"/>
      <c r="R31" s="664"/>
      <c r="S31" s="664"/>
      <c r="T31" s="664"/>
    </row>
    <row r="32" spans="2:20" x14ac:dyDescent="0.3">
      <c r="B32" s="192"/>
      <c r="C32" s="665" t="s">
        <v>117</v>
      </c>
      <c r="D32" s="665"/>
      <c r="E32" s="665" t="s">
        <v>118</v>
      </c>
      <c r="F32" s="665"/>
      <c r="G32" s="665" t="s">
        <v>119</v>
      </c>
      <c r="H32" s="665"/>
      <c r="I32" s="665" t="s">
        <v>120</v>
      </c>
      <c r="J32" s="665"/>
      <c r="K32" s="665" t="s">
        <v>121</v>
      </c>
      <c r="L32" s="665"/>
      <c r="M32" s="665" t="s">
        <v>210</v>
      </c>
      <c r="N32" s="665"/>
      <c r="O32" s="665" t="s">
        <v>211</v>
      </c>
      <c r="P32" s="665"/>
      <c r="Q32" s="665" t="s">
        <v>122</v>
      </c>
      <c r="R32" s="665"/>
      <c r="S32" s="665" t="s">
        <v>402</v>
      </c>
      <c r="T32" s="665"/>
    </row>
    <row r="33" spans="2:20" ht="15" thickBot="1" x14ac:dyDescent="0.35">
      <c r="B33" s="192"/>
      <c r="C33" s="192">
        <v>20</v>
      </c>
      <c r="D33" s="192">
        <v>32</v>
      </c>
      <c r="E33" s="192">
        <v>20</v>
      </c>
      <c r="F33" s="192">
        <v>32</v>
      </c>
      <c r="G33" s="192">
        <v>20</v>
      </c>
      <c r="H33" s="192">
        <v>32</v>
      </c>
      <c r="I33" s="192">
        <v>20</v>
      </c>
      <c r="J33" s="192">
        <v>32</v>
      </c>
      <c r="K33" s="192">
        <v>20</v>
      </c>
      <c r="L33" s="192">
        <v>32</v>
      </c>
      <c r="M33" s="192">
        <v>20</v>
      </c>
      <c r="N33" s="192">
        <v>32</v>
      </c>
      <c r="O33" s="192">
        <v>20</v>
      </c>
      <c r="P33" s="192">
        <v>32</v>
      </c>
      <c r="Q33" s="192">
        <v>20</v>
      </c>
      <c r="R33" s="192">
        <v>32</v>
      </c>
      <c r="S33" s="192">
        <v>20</v>
      </c>
      <c r="T33" s="192">
        <v>32</v>
      </c>
    </row>
    <row r="34" spans="2:20" ht="15" thickBot="1" x14ac:dyDescent="0.35">
      <c r="B34" s="44" t="s">
        <v>57</v>
      </c>
      <c r="C34" s="78">
        <v>-293</v>
      </c>
      <c r="D34" s="78">
        <v>-62</v>
      </c>
      <c r="E34" s="78">
        <v>-75</v>
      </c>
      <c r="F34" s="78">
        <v>16</v>
      </c>
      <c r="G34" s="78">
        <v>-62</v>
      </c>
      <c r="H34" s="78">
        <v>-20</v>
      </c>
      <c r="I34" s="78">
        <v>19</v>
      </c>
      <c r="J34" s="78">
        <v>-9</v>
      </c>
      <c r="K34" s="78">
        <v>-40</v>
      </c>
      <c r="L34" s="78">
        <v>-9</v>
      </c>
      <c r="M34" s="78">
        <v>203</v>
      </c>
      <c r="N34" s="78">
        <v>70</v>
      </c>
      <c r="O34" s="78">
        <v>-11</v>
      </c>
      <c r="P34" s="78">
        <v>-16</v>
      </c>
      <c r="Q34" s="78">
        <v>280</v>
      </c>
      <c r="R34" s="78">
        <v>-274</v>
      </c>
      <c r="S34" s="78">
        <v>-21</v>
      </c>
      <c r="T34" s="78">
        <v>-59</v>
      </c>
    </row>
    <row r="35" spans="2:20" ht="15" thickBot="1" x14ac:dyDescent="0.35">
      <c r="B35" s="45" t="s">
        <v>58</v>
      </c>
      <c r="C35" s="79">
        <v>-177</v>
      </c>
      <c r="D35" s="79">
        <v>-77</v>
      </c>
      <c r="E35" s="79">
        <v>126</v>
      </c>
      <c r="F35" s="79">
        <v>-95</v>
      </c>
      <c r="G35" s="79">
        <v>94</v>
      </c>
      <c r="H35" s="79">
        <v>10</v>
      </c>
      <c r="I35" s="79">
        <v>25</v>
      </c>
      <c r="J35" s="79">
        <v>-16</v>
      </c>
      <c r="K35" s="79">
        <v>-472</v>
      </c>
      <c r="L35" s="79">
        <v>-334</v>
      </c>
      <c r="M35" s="79">
        <v>-567</v>
      </c>
      <c r="N35" s="79">
        <v>254</v>
      </c>
      <c r="O35" s="79">
        <v>-24</v>
      </c>
      <c r="P35" s="79">
        <v>-17</v>
      </c>
      <c r="Q35" s="79">
        <v>-509</v>
      </c>
      <c r="R35" s="79">
        <v>-148</v>
      </c>
      <c r="S35" s="79">
        <v>-130</v>
      </c>
      <c r="T35" s="79">
        <v>-68</v>
      </c>
    </row>
    <row r="36" spans="2:20" x14ac:dyDescent="0.3">
      <c r="B36" s="80" t="s">
        <v>84</v>
      </c>
      <c r="C36" s="81">
        <v>116</v>
      </c>
      <c r="D36" s="81">
        <v>-15</v>
      </c>
      <c r="E36" s="81">
        <v>201</v>
      </c>
      <c r="F36" s="81">
        <v>-111</v>
      </c>
      <c r="G36" s="81">
        <v>156</v>
      </c>
      <c r="H36" s="81">
        <v>30</v>
      </c>
      <c r="I36" s="81">
        <v>6</v>
      </c>
      <c r="J36" s="81">
        <v>-7</v>
      </c>
      <c r="K36" s="81">
        <v>-432</v>
      </c>
      <c r="L36" s="81">
        <v>-325</v>
      </c>
      <c r="M36" s="81">
        <v>-770</v>
      </c>
      <c r="N36" s="81">
        <v>184</v>
      </c>
      <c r="O36" s="81">
        <v>-13</v>
      </c>
      <c r="P36" s="81">
        <v>-1</v>
      </c>
      <c r="Q36" s="81">
        <v>-789</v>
      </c>
      <c r="R36" s="81">
        <v>126</v>
      </c>
      <c r="S36" s="81">
        <v>-109</v>
      </c>
      <c r="T36" s="82">
        <v>-9</v>
      </c>
    </row>
    <row r="37" spans="2:20" ht="15" thickBot="1" x14ac:dyDescent="0.35">
      <c r="B37" s="83" t="s">
        <v>86</v>
      </c>
      <c r="C37" s="84">
        <v>0.4</v>
      </c>
      <c r="D37" s="84">
        <v>-0.24</v>
      </c>
      <c r="E37" s="85">
        <v>-2.68</v>
      </c>
      <c r="F37" s="85">
        <v>-6.94</v>
      </c>
      <c r="G37" s="85">
        <v>2.52</v>
      </c>
      <c r="H37" s="85">
        <v>1.5</v>
      </c>
      <c r="I37" s="85">
        <v>-0.32</v>
      </c>
      <c r="J37" s="85">
        <v>-0.78</v>
      </c>
      <c r="K37" s="85">
        <v>10.8</v>
      </c>
      <c r="L37" s="85">
        <v>36.11</v>
      </c>
      <c r="M37" s="85">
        <v>3.79</v>
      </c>
      <c r="N37" s="85">
        <v>-2.63</v>
      </c>
      <c r="O37" s="85">
        <v>-1.18</v>
      </c>
      <c r="P37" s="85">
        <v>-0.06</v>
      </c>
      <c r="Q37" s="85">
        <v>2.82</v>
      </c>
      <c r="R37" s="85">
        <v>0.46</v>
      </c>
      <c r="S37" s="85">
        <v>-5.19</v>
      </c>
      <c r="T37" s="86">
        <v>-0.15</v>
      </c>
    </row>
    <row r="38" spans="2:20" ht="15" thickBot="1" x14ac:dyDescent="0.35">
      <c r="B38" s="45" t="s">
        <v>59</v>
      </c>
      <c r="C38" s="79">
        <v>-45</v>
      </c>
      <c r="D38" s="79">
        <v>-133</v>
      </c>
      <c r="E38" s="79">
        <v>-14</v>
      </c>
      <c r="F38" s="79">
        <v>-146</v>
      </c>
      <c r="G38" s="79">
        <v>61</v>
      </c>
      <c r="H38" s="79">
        <v>-15</v>
      </c>
      <c r="I38" s="79">
        <v>-33</v>
      </c>
      <c r="J38" s="79">
        <v>-18</v>
      </c>
      <c r="K38" s="79">
        <v>-358</v>
      </c>
      <c r="L38" s="79">
        <v>-245</v>
      </c>
      <c r="M38" s="79">
        <v>623</v>
      </c>
      <c r="N38" s="79">
        <v>202</v>
      </c>
      <c r="O38" s="79">
        <v>-31</v>
      </c>
      <c r="P38" s="79">
        <v>-24</v>
      </c>
      <c r="Q38" s="79">
        <v>-107</v>
      </c>
      <c r="R38" s="79">
        <v>-141</v>
      </c>
      <c r="S38" s="79">
        <v>-92</v>
      </c>
      <c r="T38" s="79">
        <v>-79</v>
      </c>
    </row>
    <row r="39" spans="2:20" x14ac:dyDescent="0.3">
      <c r="B39" s="80" t="s">
        <v>84</v>
      </c>
      <c r="C39" s="81">
        <v>132</v>
      </c>
      <c r="D39" s="81">
        <v>-56</v>
      </c>
      <c r="E39" s="81">
        <v>-140</v>
      </c>
      <c r="F39" s="81">
        <v>-51</v>
      </c>
      <c r="G39" s="81">
        <v>-33</v>
      </c>
      <c r="H39" s="81">
        <v>-25</v>
      </c>
      <c r="I39" s="81">
        <v>-58</v>
      </c>
      <c r="J39" s="81">
        <v>-2</v>
      </c>
      <c r="K39" s="81">
        <v>114</v>
      </c>
      <c r="L39" s="81">
        <v>89</v>
      </c>
      <c r="M39" s="81">
        <v>1190</v>
      </c>
      <c r="N39" s="81">
        <v>-52</v>
      </c>
      <c r="O39" s="81">
        <v>-7</v>
      </c>
      <c r="P39" s="81">
        <v>-7</v>
      </c>
      <c r="Q39" s="81">
        <v>402</v>
      </c>
      <c r="R39" s="81">
        <v>7</v>
      </c>
      <c r="S39" s="81">
        <v>38</v>
      </c>
      <c r="T39" s="82">
        <v>-11</v>
      </c>
    </row>
    <row r="40" spans="2:20" ht="15" thickBot="1" x14ac:dyDescent="0.35">
      <c r="B40" s="83" t="s">
        <v>86</v>
      </c>
      <c r="C40" s="84">
        <v>-0.75</v>
      </c>
      <c r="D40" s="84">
        <v>0.73</v>
      </c>
      <c r="E40" s="84">
        <v>-1.1100000000000001</v>
      </c>
      <c r="F40" s="84">
        <v>0.54</v>
      </c>
      <c r="G40" s="84">
        <v>-0.35</v>
      </c>
      <c r="H40" s="84">
        <v>-2.5</v>
      </c>
      <c r="I40" s="84">
        <v>-2.3199999999999998</v>
      </c>
      <c r="J40" s="84">
        <v>0.13</v>
      </c>
      <c r="K40" s="84">
        <v>-0.24</v>
      </c>
      <c r="L40" s="84">
        <v>-0.27</v>
      </c>
      <c r="M40" s="84"/>
      <c r="N40" s="84">
        <v>-0.2</v>
      </c>
      <c r="O40" s="84">
        <v>0.28999999999999998</v>
      </c>
      <c r="P40" s="84">
        <v>0.41</v>
      </c>
      <c r="Q40" s="84">
        <v>-0.79</v>
      </c>
      <c r="R40" s="84">
        <v>-0.05</v>
      </c>
      <c r="S40" s="84">
        <v>-0.28999999999999998</v>
      </c>
      <c r="T40" s="87">
        <v>0.16</v>
      </c>
    </row>
    <row r="41" spans="2:20" ht="15" thickBot="1" x14ac:dyDescent="0.35">
      <c r="B41" s="45" t="s">
        <v>2</v>
      </c>
      <c r="C41" s="79">
        <v>-172</v>
      </c>
      <c r="D41" s="79">
        <v>-130</v>
      </c>
      <c r="E41" s="79">
        <v>-107</v>
      </c>
      <c r="F41" s="79">
        <v>-140</v>
      </c>
      <c r="G41" s="79">
        <v>76</v>
      </c>
      <c r="H41" s="79">
        <v>-5</v>
      </c>
      <c r="I41" s="79">
        <v>497</v>
      </c>
      <c r="J41" s="79">
        <v>-40</v>
      </c>
      <c r="K41" s="79">
        <v>-656</v>
      </c>
      <c r="L41" s="79">
        <v>-135</v>
      </c>
      <c r="M41" s="79">
        <v>429</v>
      </c>
      <c r="N41" s="79">
        <v>332</v>
      </c>
      <c r="O41" s="79">
        <v>-14</v>
      </c>
      <c r="P41" s="79">
        <v>-10</v>
      </c>
      <c r="Q41" s="79">
        <v>-156</v>
      </c>
      <c r="R41" s="79">
        <v>-157</v>
      </c>
      <c r="S41" s="79">
        <v>-4</v>
      </c>
      <c r="T41" s="79">
        <v>12</v>
      </c>
    </row>
    <row r="42" spans="2:20" x14ac:dyDescent="0.3">
      <c r="B42" s="80" t="s">
        <v>84</v>
      </c>
      <c r="C42" s="88">
        <v>-127</v>
      </c>
      <c r="D42" s="88">
        <v>3</v>
      </c>
      <c r="E42" s="88">
        <v>-93</v>
      </c>
      <c r="F42" s="88">
        <v>6</v>
      </c>
      <c r="G42" s="88">
        <v>15</v>
      </c>
      <c r="H42" s="88">
        <v>10</v>
      </c>
      <c r="I42" s="88">
        <v>530</v>
      </c>
      <c r="J42" s="88">
        <v>-22</v>
      </c>
      <c r="K42" s="88">
        <v>-298</v>
      </c>
      <c r="L42" s="88">
        <v>110</v>
      </c>
      <c r="M42" s="88">
        <v>-194</v>
      </c>
      <c r="N42" s="88">
        <v>130</v>
      </c>
      <c r="O42" s="88">
        <v>17</v>
      </c>
      <c r="P42" s="88">
        <v>14</v>
      </c>
      <c r="Q42" s="88">
        <v>-49</v>
      </c>
      <c r="R42" s="88">
        <v>-16</v>
      </c>
      <c r="S42" s="88">
        <v>88</v>
      </c>
      <c r="T42" s="89">
        <v>91</v>
      </c>
    </row>
    <row r="43" spans="2:20" ht="15" thickBot="1" x14ac:dyDescent="0.35">
      <c r="B43" s="83" t="s">
        <v>86</v>
      </c>
      <c r="C43" s="85">
        <v>2.82</v>
      </c>
      <c r="D43" s="85">
        <v>-0.02</v>
      </c>
      <c r="E43" s="85">
        <v>6.64</v>
      </c>
      <c r="F43" s="85">
        <v>-0.04</v>
      </c>
      <c r="G43" s="85">
        <v>0.25</v>
      </c>
      <c r="H43" s="85">
        <v>-0.67</v>
      </c>
      <c r="I43" s="85">
        <v>-16.059999999999999</v>
      </c>
      <c r="J43" s="85">
        <v>1.22</v>
      </c>
      <c r="K43" s="85">
        <v>0.83</v>
      </c>
      <c r="L43" s="85">
        <v>-0.45</v>
      </c>
      <c r="M43" s="85">
        <v>-0.31</v>
      </c>
      <c r="N43" s="85">
        <v>0.64</v>
      </c>
      <c r="O43" s="85">
        <v>-0.55000000000000004</v>
      </c>
      <c r="P43" s="85">
        <v>-0.57999999999999996</v>
      </c>
      <c r="Q43" s="85">
        <v>0.46</v>
      </c>
      <c r="R43" s="85">
        <v>0.11</v>
      </c>
      <c r="S43" s="85">
        <v>-0.96</v>
      </c>
      <c r="T43" s="86">
        <v>-1.1499999999999999</v>
      </c>
    </row>
    <row r="44" spans="2:20" ht="13.5" customHeight="1" thickBot="1" x14ac:dyDescent="0.35">
      <c r="B44" s="45" t="s">
        <v>60</v>
      </c>
      <c r="C44" s="79">
        <v>-86</v>
      </c>
      <c r="D44" s="79"/>
      <c r="E44" s="79">
        <v>88</v>
      </c>
      <c r="F44" s="79"/>
      <c r="G44" s="79">
        <v>-16</v>
      </c>
      <c r="H44" s="79"/>
      <c r="I44" s="79">
        <v>9</v>
      </c>
      <c r="J44" s="79"/>
      <c r="K44" s="79">
        <v>-516</v>
      </c>
      <c r="L44" s="79"/>
      <c r="M44" s="79">
        <v>-208</v>
      </c>
      <c r="N44" s="79"/>
      <c r="O44" s="79">
        <v>-16</v>
      </c>
      <c r="P44" s="79"/>
      <c r="Q44" s="79">
        <v>-61</v>
      </c>
      <c r="R44" s="79"/>
      <c r="S44" s="79">
        <v>21</v>
      </c>
      <c r="T44" s="79"/>
    </row>
    <row r="45" spans="2:20" x14ac:dyDescent="0.3">
      <c r="B45" s="80" t="s">
        <v>84</v>
      </c>
      <c r="C45" s="81">
        <v>86</v>
      </c>
      <c r="D45" s="81">
        <v>130</v>
      </c>
      <c r="E45" s="81">
        <v>195</v>
      </c>
      <c r="F45" s="81">
        <v>140</v>
      </c>
      <c r="G45" s="81">
        <v>-92</v>
      </c>
      <c r="H45" s="81">
        <v>5</v>
      </c>
      <c r="I45" s="81">
        <v>-488</v>
      </c>
      <c r="J45" s="81">
        <v>40</v>
      </c>
      <c r="K45" s="81">
        <v>140</v>
      </c>
      <c r="L45" s="81">
        <v>135</v>
      </c>
      <c r="M45" s="81">
        <v>-637</v>
      </c>
      <c r="N45" s="81">
        <v>-332</v>
      </c>
      <c r="O45" s="81">
        <v>-2</v>
      </c>
      <c r="P45" s="81">
        <v>10</v>
      </c>
      <c r="Q45" s="81">
        <v>95</v>
      </c>
      <c r="R45" s="81">
        <v>157</v>
      </c>
      <c r="S45" s="81">
        <v>25</v>
      </c>
      <c r="T45" s="82">
        <v>-12</v>
      </c>
    </row>
    <row r="46" spans="2:20" ht="15" thickBot="1" x14ac:dyDescent="0.35">
      <c r="B46" s="83" t="s">
        <v>86</v>
      </c>
      <c r="C46" s="84">
        <v>-0.5</v>
      </c>
      <c r="D46" s="84">
        <v>-1</v>
      </c>
      <c r="E46" s="84">
        <v>-1.82</v>
      </c>
      <c r="F46" s="84">
        <v>-1</v>
      </c>
      <c r="G46" s="84">
        <v>-1.21</v>
      </c>
      <c r="H46" s="84">
        <v>-1</v>
      </c>
      <c r="I46" s="84">
        <v>-0.98</v>
      </c>
      <c r="J46" s="84">
        <v>-1</v>
      </c>
      <c r="K46" s="84">
        <v>-0.21</v>
      </c>
      <c r="L46" s="84">
        <v>-1</v>
      </c>
      <c r="M46" s="84">
        <v>-1.48</v>
      </c>
      <c r="N46" s="84">
        <v>-1</v>
      </c>
      <c r="O46" s="84">
        <v>0.14000000000000001</v>
      </c>
      <c r="P46" s="84">
        <v>-1</v>
      </c>
      <c r="Q46" s="84">
        <v>-0.61</v>
      </c>
      <c r="R46" s="84">
        <v>-1</v>
      </c>
      <c r="S46" s="84">
        <v>-6.25</v>
      </c>
      <c r="T46" s="87">
        <v>-1</v>
      </c>
    </row>
    <row r="47" spans="2:20" ht="15" thickBot="1" x14ac:dyDescent="0.35">
      <c r="B47" s="45" t="s">
        <v>61</v>
      </c>
      <c r="C47" s="79">
        <v>-200</v>
      </c>
      <c r="D47" s="79">
        <v>-57</v>
      </c>
      <c r="E47" s="79">
        <v>-4</v>
      </c>
      <c r="F47" s="79">
        <v>-85</v>
      </c>
      <c r="G47" s="79">
        <v>-47</v>
      </c>
      <c r="H47" s="79">
        <v>-42</v>
      </c>
      <c r="I47" s="79">
        <v>67</v>
      </c>
      <c r="J47" s="79">
        <v>-12</v>
      </c>
      <c r="K47" s="79">
        <v>-13</v>
      </c>
      <c r="L47" s="79">
        <v>87</v>
      </c>
      <c r="M47" s="79">
        <v>634</v>
      </c>
      <c r="N47" s="79">
        <v>89</v>
      </c>
      <c r="O47" s="79">
        <v>-26</v>
      </c>
      <c r="P47" s="79">
        <v>-3</v>
      </c>
      <c r="Q47" s="79">
        <v>-310</v>
      </c>
      <c r="R47" s="79">
        <v>-136</v>
      </c>
      <c r="S47" s="79"/>
      <c r="T47" s="79">
        <v>-105</v>
      </c>
    </row>
    <row r="48" spans="2:20" x14ac:dyDescent="0.3">
      <c r="B48" s="80" t="s">
        <v>84</v>
      </c>
      <c r="C48" s="81">
        <f>C47-C44</f>
        <v>-114</v>
      </c>
      <c r="D48" s="81">
        <f>D47-D44</f>
        <v>-57</v>
      </c>
      <c r="E48" s="81">
        <f t="shared" ref="E48:T48" si="0">E47-E44</f>
        <v>-92</v>
      </c>
      <c r="F48" s="81">
        <f t="shared" si="0"/>
        <v>-85</v>
      </c>
      <c r="G48" s="81">
        <f t="shared" si="0"/>
        <v>-31</v>
      </c>
      <c r="H48" s="81">
        <f t="shared" si="0"/>
        <v>-42</v>
      </c>
      <c r="I48" s="81">
        <f t="shared" si="0"/>
        <v>58</v>
      </c>
      <c r="J48" s="81">
        <f t="shared" si="0"/>
        <v>-12</v>
      </c>
      <c r="K48" s="81">
        <f t="shared" si="0"/>
        <v>503</v>
      </c>
      <c r="L48" s="81">
        <f t="shared" si="0"/>
        <v>87</v>
      </c>
      <c r="M48" s="81">
        <f t="shared" si="0"/>
        <v>842</v>
      </c>
      <c r="N48" s="81">
        <f t="shared" si="0"/>
        <v>89</v>
      </c>
      <c r="O48" s="81">
        <f t="shared" si="0"/>
        <v>-10</v>
      </c>
      <c r="P48" s="81">
        <f t="shared" si="0"/>
        <v>-3</v>
      </c>
      <c r="Q48" s="81">
        <f t="shared" si="0"/>
        <v>-249</v>
      </c>
      <c r="R48" s="81">
        <f t="shared" si="0"/>
        <v>-136</v>
      </c>
      <c r="S48" s="81">
        <f t="shared" si="0"/>
        <v>-21</v>
      </c>
      <c r="T48" s="82">
        <f t="shared" si="0"/>
        <v>-105</v>
      </c>
    </row>
    <row r="49" spans="2:20" ht="15" thickBot="1" x14ac:dyDescent="0.35">
      <c r="B49" s="83" t="s">
        <v>86</v>
      </c>
      <c r="C49" s="84">
        <f>C48/C44</f>
        <v>1.3255813953488371</v>
      </c>
      <c r="D49" s="84" t="e">
        <f>D48/D44</f>
        <v>#DIV/0!</v>
      </c>
      <c r="E49" s="84">
        <f t="shared" ref="E49:T49" si="1">E48/E44</f>
        <v>-1.0454545454545454</v>
      </c>
      <c r="F49" s="84" t="e">
        <f t="shared" si="1"/>
        <v>#DIV/0!</v>
      </c>
      <c r="G49" s="84">
        <f t="shared" si="1"/>
        <v>1.9375</v>
      </c>
      <c r="H49" s="84" t="e">
        <f t="shared" si="1"/>
        <v>#DIV/0!</v>
      </c>
      <c r="I49" s="84">
        <f t="shared" si="1"/>
        <v>6.4444444444444446</v>
      </c>
      <c r="J49" s="84" t="e">
        <f t="shared" si="1"/>
        <v>#DIV/0!</v>
      </c>
      <c r="K49" s="84">
        <f t="shared" si="1"/>
        <v>-0.97480620155038755</v>
      </c>
      <c r="L49" s="84" t="e">
        <f t="shared" si="1"/>
        <v>#DIV/0!</v>
      </c>
      <c r="M49" s="84">
        <f t="shared" si="1"/>
        <v>-4.0480769230769234</v>
      </c>
      <c r="N49" s="84" t="e">
        <f t="shared" si="1"/>
        <v>#DIV/0!</v>
      </c>
      <c r="O49" s="84">
        <f t="shared" si="1"/>
        <v>0.625</v>
      </c>
      <c r="P49" s="84" t="e">
        <f t="shared" si="1"/>
        <v>#DIV/0!</v>
      </c>
      <c r="Q49" s="84">
        <f t="shared" si="1"/>
        <v>4.081967213114754</v>
      </c>
      <c r="R49" s="84" t="e">
        <f t="shared" si="1"/>
        <v>#DIV/0!</v>
      </c>
      <c r="S49" s="84">
        <f t="shared" si="1"/>
        <v>-1</v>
      </c>
      <c r="T49" s="87" t="e">
        <f t="shared" si="1"/>
        <v>#DIV/0!</v>
      </c>
    </row>
    <row r="50" spans="2:20" ht="15" thickBot="1" x14ac:dyDescent="0.35">
      <c r="B50" s="45" t="s">
        <v>62</v>
      </c>
      <c r="C50" s="79">
        <v>157</v>
      </c>
      <c r="D50" s="79">
        <v>-50</v>
      </c>
      <c r="E50" s="79">
        <v>88</v>
      </c>
      <c r="F50" s="79">
        <v>102</v>
      </c>
      <c r="G50" s="79">
        <v>-58</v>
      </c>
      <c r="H50" s="79">
        <v>9</v>
      </c>
      <c r="I50" s="79">
        <v>-87</v>
      </c>
      <c r="J50" s="79">
        <v>-11</v>
      </c>
      <c r="K50" s="79">
        <v>-1207</v>
      </c>
      <c r="L50" s="79">
        <v>-13</v>
      </c>
      <c r="M50" s="79">
        <v>885</v>
      </c>
      <c r="N50" s="79">
        <v>879</v>
      </c>
      <c r="O50" s="79">
        <v>-34</v>
      </c>
      <c r="P50" s="79">
        <v>6</v>
      </c>
      <c r="Q50" s="79">
        <v>-157</v>
      </c>
      <c r="R50" s="79">
        <v>42</v>
      </c>
      <c r="S50" s="79">
        <v>-25</v>
      </c>
      <c r="T50" s="79">
        <f>-541+642</f>
        <v>101</v>
      </c>
    </row>
    <row r="51" spans="2:20" x14ac:dyDescent="0.3">
      <c r="B51" s="80" t="s">
        <v>84</v>
      </c>
      <c r="C51" s="81">
        <f>C50-C47</f>
        <v>357</v>
      </c>
      <c r="D51" s="81">
        <f>D50-D47</f>
        <v>7</v>
      </c>
      <c r="E51" s="81">
        <f t="shared" ref="E51:T51" si="2">E50-E47</f>
        <v>92</v>
      </c>
      <c r="F51" s="81">
        <f t="shared" si="2"/>
        <v>187</v>
      </c>
      <c r="G51" s="81">
        <f t="shared" si="2"/>
        <v>-11</v>
      </c>
      <c r="H51" s="81">
        <f t="shared" si="2"/>
        <v>51</v>
      </c>
      <c r="I51" s="81">
        <f t="shared" si="2"/>
        <v>-154</v>
      </c>
      <c r="J51" s="81">
        <f t="shared" si="2"/>
        <v>1</v>
      </c>
      <c r="K51" s="81">
        <f t="shared" si="2"/>
        <v>-1194</v>
      </c>
      <c r="L51" s="81">
        <f t="shared" si="2"/>
        <v>-100</v>
      </c>
      <c r="M51" s="81">
        <f t="shared" si="2"/>
        <v>251</v>
      </c>
      <c r="N51" s="81">
        <f t="shared" si="2"/>
        <v>790</v>
      </c>
      <c r="O51" s="81">
        <f t="shared" si="2"/>
        <v>-8</v>
      </c>
      <c r="P51" s="81">
        <f t="shared" si="2"/>
        <v>9</v>
      </c>
      <c r="Q51" s="81">
        <f t="shared" si="2"/>
        <v>153</v>
      </c>
      <c r="R51" s="81">
        <f t="shared" si="2"/>
        <v>178</v>
      </c>
      <c r="S51" s="81">
        <f t="shared" si="2"/>
        <v>-25</v>
      </c>
      <c r="T51" s="82">
        <f t="shared" si="2"/>
        <v>206</v>
      </c>
    </row>
    <row r="52" spans="2:20" ht="15" thickBot="1" x14ac:dyDescent="0.35">
      <c r="B52" s="83" t="s">
        <v>86</v>
      </c>
      <c r="C52" s="84">
        <f>C51/C47</f>
        <v>-1.7849999999999999</v>
      </c>
      <c r="D52" s="84">
        <f>D51/D47</f>
        <v>-0.12280701754385964</v>
      </c>
      <c r="E52" s="84">
        <f t="shared" ref="E52:T52" si="3">E51/E47</f>
        <v>-23</v>
      </c>
      <c r="F52" s="84">
        <f t="shared" si="3"/>
        <v>-2.2000000000000002</v>
      </c>
      <c r="G52" s="84">
        <f t="shared" si="3"/>
        <v>0.23404255319148937</v>
      </c>
      <c r="H52" s="84">
        <f t="shared" si="3"/>
        <v>-1.2142857142857142</v>
      </c>
      <c r="I52" s="84">
        <f t="shared" si="3"/>
        <v>-2.2985074626865671</v>
      </c>
      <c r="J52" s="84">
        <f t="shared" si="3"/>
        <v>-8.3333333333333329E-2</v>
      </c>
      <c r="K52" s="84">
        <f t="shared" si="3"/>
        <v>91.84615384615384</v>
      </c>
      <c r="L52" s="84">
        <f t="shared" si="3"/>
        <v>-1.1494252873563218</v>
      </c>
      <c r="M52" s="84">
        <f t="shared" si="3"/>
        <v>0.39589905362776023</v>
      </c>
      <c r="N52" s="84">
        <f t="shared" si="3"/>
        <v>8.8764044943820224</v>
      </c>
      <c r="O52" s="84">
        <f t="shared" si="3"/>
        <v>0.30769230769230771</v>
      </c>
      <c r="P52" s="84">
        <f t="shared" si="3"/>
        <v>-3</v>
      </c>
      <c r="Q52" s="84">
        <f t="shared" si="3"/>
        <v>-0.49354838709677418</v>
      </c>
      <c r="R52" s="84">
        <f t="shared" si="3"/>
        <v>-1.3088235294117647</v>
      </c>
      <c r="S52" s="84" t="e">
        <f t="shared" si="3"/>
        <v>#DIV/0!</v>
      </c>
      <c r="T52" s="87">
        <f t="shared" si="3"/>
        <v>-1.9619047619047618</v>
      </c>
    </row>
    <row r="53" spans="2:20" ht="15" thickBot="1" x14ac:dyDescent="0.35">
      <c r="B53" s="45" t="s">
        <v>63</v>
      </c>
      <c r="C53" s="79"/>
      <c r="D53" s="79"/>
      <c r="E53" s="79"/>
      <c r="F53" s="79"/>
      <c r="G53" s="79"/>
      <c r="H53" s="79"/>
      <c r="I53" s="79"/>
      <c r="J53" s="79"/>
      <c r="K53" s="79"/>
      <c r="L53" s="79"/>
      <c r="M53" s="79"/>
      <c r="N53" s="79"/>
      <c r="O53" s="79"/>
      <c r="P53" s="79"/>
      <c r="Q53" s="79"/>
      <c r="R53" s="79"/>
      <c r="S53" s="79"/>
      <c r="T53" s="79"/>
    </row>
    <row r="54" spans="2:20" x14ac:dyDescent="0.3">
      <c r="B54" s="80" t="s">
        <v>84</v>
      </c>
      <c r="C54" s="81">
        <f>C53-C50</f>
        <v>-157</v>
      </c>
      <c r="D54" s="81">
        <f>D53-D50</f>
        <v>50</v>
      </c>
      <c r="E54" s="81">
        <f t="shared" ref="E54:T54" si="4">E53-E50</f>
        <v>-88</v>
      </c>
      <c r="F54" s="81">
        <f t="shared" si="4"/>
        <v>-102</v>
      </c>
      <c r="G54" s="81">
        <f t="shared" si="4"/>
        <v>58</v>
      </c>
      <c r="H54" s="81">
        <f t="shared" si="4"/>
        <v>-9</v>
      </c>
      <c r="I54" s="81">
        <f t="shared" si="4"/>
        <v>87</v>
      </c>
      <c r="J54" s="81">
        <f t="shared" si="4"/>
        <v>11</v>
      </c>
      <c r="K54" s="81">
        <f t="shared" si="4"/>
        <v>1207</v>
      </c>
      <c r="L54" s="81">
        <f t="shared" si="4"/>
        <v>13</v>
      </c>
      <c r="M54" s="81">
        <f t="shared" si="4"/>
        <v>-885</v>
      </c>
      <c r="N54" s="81">
        <f t="shared" si="4"/>
        <v>-879</v>
      </c>
      <c r="O54" s="81">
        <f t="shared" si="4"/>
        <v>34</v>
      </c>
      <c r="P54" s="81">
        <f t="shared" si="4"/>
        <v>-6</v>
      </c>
      <c r="Q54" s="81">
        <f t="shared" si="4"/>
        <v>157</v>
      </c>
      <c r="R54" s="81">
        <f t="shared" si="4"/>
        <v>-42</v>
      </c>
      <c r="S54" s="81">
        <f t="shared" si="4"/>
        <v>25</v>
      </c>
      <c r="T54" s="82">
        <f t="shared" si="4"/>
        <v>-101</v>
      </c>
    </row>
    <row r="55" spans="2:20" ht="15" thickBot="1" x14ac:dyDescent="0.35">
      <c r="B55" s="83" t="s">
        <v>86</v>
      </c>
      <c r="C55" s="84">
        <f>C54/C50</f>
        <v>-1</v>
      </c>
      <c r="D55" s="84">
        <f>D54/D50</f>
        <v>-1</v>
      </c>
      <c r="E55" s="84">
        <f t="shared" ref="E55:T55" si="5">E54/E50</f>
        <v>-1</v>
      </c>
      <c r="F55" s="84">
        <f t="shared" si="5"/>
        <v>-1</v>
      </c>
      <c r="G55" s="84">
        <f t="shared" si="5"/>
        <v>-1</v>
      </c>
      <c r="H55" s="84">
        <f t="shared" si="5"/>
        <v>-1</v>
      </c>
      <c r="I55" s="84">
        <f t="shared" si="5"/>
        <v>-1</v>
      </c>
      <c r="J55" s="84">
        <f t="shared" si="5"/>
        <v>-1</v>
      </c>
      <c r="K55" s="84">
        <f t="shared" si="5"/>
        <v>-1</v>
      </c>
      <c r="L55" s="84">
        <f t="shared" si="5"/>
        <v>-1</v>
      </c>
      <c r="M55" s="84">
        <f t="shared" si="5"/>
        <v>-1</v>
      </c>
      <c r="N55" s="84">
        <f t="shared" si="5"/>
        <v>-1</v>
      </c>
      <c r="O55" s="84">
        <f t="shared" si="5"/>
        <v>-1</v>
      </c>
      <c r="P55" s="84">
        <f t="shared" si="5"/>
        <v>-1</v>
      </c>
      <c r="Q55" s="84">
        <f t="shared" si="5"/>
        <v>-1</v>
      </c>
      <c r="R55" s="84">
        <f t="shared" si="5"/>
        <v>-1</v>
      </c>
      <c r="S55" s="84">
        <f t="shared" si="5"/>
        <v>-1</v>
      </c>
      <c r="T55" s="87">
        <f t="shared" si="5"/>
        <v>-1</v>
      </c>
    </row>
    <row r="56" spans="2:20" ht="15" thickBot="1" x14ac:dyDescent="0.35">
      <c r="B56" s="45" t="s">
        <v>64</v>
      </c>
      <c r="C56" s="79"/>
      <c r="D56" s="79"/>
      <c r="E56" s="79"/>
      <c r="F56" s="79"/>
      <c r="G56" s="79"/>
      <c r="H56" s="79"/>
      <c r="I56" s="79"/>
      <c r="J56" s="79"/>
      <c r="K56" s="79"/>
      <c r="L56" s="79"/>
      <c r="M56" s="79"/>
      <c r="N56" s="79"/>
      <c r="O56" s="79"/>
      <c r="P56" s="79"/>
      <c r="Q56" s="79"/>
      <c r="R56" s="79"/>
      <c r="S56" s="79"/>
      <c r="T56" s="79"/>
    </row>
    <row r="57" spans="2:20" x14ac:dyDescent="0.3">
      <c r="B57" s="80" t="s">
        <v>84</v>
      </c>
      <c r="C57" s="81">
        <f>C56-C53</f>
        <v>0</v>
      </c>
      <c r="D57" s="81">
        <f>D56-D53</f>
        <v>0</v>
      </c>
      <c r="E57" s="81">
        <f t="shared" ref="E57:T57" si="6">E56-E53</f>
        <v>0</v>
      </c>
      <c r="F57" s="81">
        <f t="shared" si="6"/>
        <v>0</v>
      </c>
      <c r="G57" s="81">
        <f t="shared" si="6"/>
        <v>0</v>
      </c>
      <c r="H57" s="81">
        <f t="shared" si="6"/>
        <v>0</v>
      </c>
      <c r="I57" s="81">
        <f t="shared" si="6"/>
        <v>0</v>
      </c>
      <c r="J57" s="81">
        <f t="shared" si="6"/>
        <v>0</v>
      </c>
      <c r="K57" s="81">
        <f t="shared" si="6"/>
        <v>0</v>
      </c>
      <c r="L57" s="81">
        <f t="shared" si="6"/>
        <v>0</v>
      </c>
      <c r="M57" s="81">
        <f t="shared" si="6"/>
        <v>0</v>
      </c>
      <c r="N57" s="81">
        <f t="shared" si="6"/>
        <v>0</v>
      </c>
      <c r="O57" s="81">
        <f t="shared" si="6"/>
        <v>0</v>
      </c>
      <c r="P57" s="81">
        <f t="shared" si="6"/>
        <v>0</v>
      </c>
      <c r="Q57" s="81">
        <f t="shared" si="6"/>
        <v>0</v>
      </c>
      <c r="R57" s="81">
        <f t="shared" si="6"/>
        <v>0</v>
      </c>
      <c r="S57" s="81">
        <f t="shared" si="6"/>
        <v>0</v>
      </c>
      <c r="T57" s="82">
        <f t="shared" si="6"/>
        <v>0</v>
      </c>
    </row>
    <row r="58" spans="2:20" ht="15" thickBot="1" x14ac:dyDescent="0.35">
      <c r="B58" s="83" t="s">
        <v>86</v>
      </c>
      <c r="C58" s="84" t="e">
        <f>C57/C53</f>
        <v>#DIV/0!</v>
      </c>
      <c r="D58" s="84" t="e">
        <f>D57/D53</f>
        <v>#DIV/0!</v>
      </c>
      <c r="E58" s="84" t="e">
        <f t="shared" ref="E58:T58" si="7">E57/E53</f>
        <v>#DIV/0!</v>
      </c>
      <c r="F58" s="84" t="e">
        <f t="shared" si="7"/>
        <v>#DIV/0!</v>
      </c>
      <c r="G58" s="84" t="e">
        <f t="shared" si="7"/>
        <v>#DIV/0!</v>
      </c>
      <c r="H58" s="84" t="e">
        <f t="shared" si="7"/>
        <v>#DIV/0!</v>
      </c>
      <c r="I58" s="84" t="e">
        <f t="shared" si="7"/>
        <v>#DIV/0!</v>
      </c>
      <c r="J58" s="84" t="e">
        <f t="shared" si="7"/>
        <v>#DIV/0!</v>
      </c>
      <c r="K58" s="84" t="e">
        <f t="shared" si="7"/>
        <v>#DIV/0!</v>
      </c>
      <c r="L58" s="84" t="e">
        <f t="shared" si="7"/>
        <v>#DIV/0!</v>
      </c>
      <c r="M58" s="84" t="e">
        <f t="shared" si="7"/>
        <v>#DIV/0!</v>
      </c>
      <c r="N58" s="84" t="e">
        <f t="shared" si="7"/>
        <v>#DIV/0!</v>
      </c>
      <c r="O58" s="84" t="e">
        <f t="shared" si="7"/>
        <v>#DIV/0!</v>
      </c>
      <c r="P58" s="84" t="e">
        <f t="shared" si="7"/>
        <v>#DIV/0!</v>
      </c>
      <c r="Q58" s="84" t="e">
        <f t="shared" si="7"/>
        <v>#DIV/0!</v>
      </c>
      <c r="R58" s="84" t="e">
        <f t="shared" si="7"/>
        <v>#DIV/0!</v>
      </c>
      <c r="S58" s="84" t="e">
        <f t="shared" si="7"/>
        <v>#DIV/0!</v>
      </c>
      <c r="T58" s="87" t="e">
        <f t="shared" si="7"/>
        <v>#DIV/0!</v>
      </c>
    </row>
    <row r="59" spans="2:20" ht="15" thickBot="1" x14ac:dyDescent="0.35">
      <c r="B59" s="45" t="s">
        <v>65</v>
      </c>
      <c r="C59" s="79"/>
      <c r="D59" s="79"/>
      <c r="E59" s="79"/>
      <c r="F59" s="79"/>
      <c r="G59" s="79"/>
      <c r="H59" s="79"/>
      <c r="I59" s="79"/>
      <c r="J59" s="79"/>
      <c r="K59" s="79"/>
      <c r="L59" s="79"/>
      <c r="M59" s="79"/>
      <c r="N59" s="79"/>
      <c r="O59" s="79"/>
      <c r="P59" s="79"/>
      <c r="Q59" s="79"/>
      <c r="R59" s="79"/>
      <c r="S59" s="79"/>
      <c r="T59" s="79"/>
    </row>
    <row r="60" spans="2:20" x14ac:dyDescent="0.3">
      <c r="B60" s="80" t="s">
        <v>84</v>
      </c>
      <c r="C60" s="81">
        <f>C59-C56</f>
        <v>0</v>
      </c>
      <c r="D60" s="81">
        <f>D59-D56</f>
        <v>0</v>
      </c>
      <c r="E60" s="81">
        <f t="shared" ref="E60:T60" si="8">E59-E56</f>
        <v>0</v>
      </c>
      <c r="F60" s="81">
        <f t="shared" si="8"/>
        <v>0</v>
      </c>
      <c r="G60" s="81">
        <f t="shared" si="8"/>
        <v>0</v>
      </c>
      <c r="H60" s="81">
        <f t="shared" si="8"/>
        <v>0</v>
      </c>
      <c r="I60" s="81">
        <f t="shared" si="8"/>
        <v>0</v>
      </c>
      <c r="J60" s="81">
        <f t="shared" si="8"/>
        <v>0</v>
      </c>
      <c r="K60" s="81">
        <f t="shared" si="8"/>
        <v>0</v>
      </c>
      <c r="L60" s="81">
        <f t="shared" si="8"/>
        <v>0</v>
      </c>
      <c r="M60" s="81">
        <f t="shared" si="8"/>
        <v>0</v>
      </c>
      <c r="N60" s="81">
        <f t="shared" si="8"/>
        <v>0</v>
      </c>
      <c r="O60" s="81">
        <f t="shared" si="8"/>
        <v>0</v>
      </c>
      <c r="P60" s="81">
        <f t="shared" si="8"/>
        <v>0</v>
      </c>
      <c r="Q60" s="81">
        <f t="shared" si="8"/>
        <v>0</v>
      </c>
      <c r="R60" s="81">
        <f t="shared" si="8"/>
        <v>0</v>
      </c>
      <c r="S60" s="81">
        <f t="shared" si="8"/>
        <v>0</v>
      </c>
      <c r="T60" s="82">
        <f t="shared" si="8"/>
        <v>0</v>
      </c>
    </row>
    <row r="61" spans="2:20" ht="15" thickBot="1" x14ac:dyDescent="0.35">
      <c r="B61" s="83" t="s">
        <v>86</v>
      </c>
      <c r="C61" s="84" t="e">
        <f>C60/C56</f>
        <v>#DIV/0!</v>
      </c>
      <c r="D61" s="84" t="e">
        <f>D60/D56</f>
        <v>#DIV/0!</v>
      </c>
      <c r="E61" s="84" t="e">
        <f t="shared" ref="E61:T61" si="9">E60/E56</f>
        <v>#DIV/0!</v>
      </c>
      <c r="F61" s="84" t="e">
        <f t="shared" si="9"/>
        <v>#DIV/0!</v>
      </c>
      <c r="G61" s="84" t="e">
        <f t="shared" si="9"/>
        <v>#DIV/0!</v>
      </c>
      <c r="H61" s="84" t="e">
        <f t="shared" si="9"/>
        <v>#DIV/0!</v>
      </c>
      <c r="I61" s="84" t="e">
        <f t="shared" si="9"/>
        <v>#DIV/0!</v>
      </c>
      <c r="J61" s="84" t="e">
        <f t="shared" si="9"/>
        <v>#DIV/0!</v>
      </c>
      <c r="K61" s="84" t="e">
        <f t="shared" si="9"/>
        <v>#DIV/0!</v>
      </c>
      <c r="L61" s="84" t="e">
        <f t="shared" si="9"/>
        <v>#DIV/0!</v>
      </c>
      <c r="M61" s="84" t="e">
        <f t="shared" si="9"/>
        <v>#DIV/0!</v>
      </c>
      <c r="N61" s="84" t="e">
        <f t="shared" si="9"/>
        <v>#DIV/0!</v>
      </c>
      <c r="O61" s="84" t="e">
        <f t="shared" si="9"/>
        <v>#DIV/0!</v>
      </c>
      <c r="P61" s="84" t="e">
        <f t="shared" si="9"/>
        <v>#DIV/0!</v>
      </c>
      <c r="Q61" s="84" t="e">
        <f t="shared" si="9"/>
        <v>#DIV/0!</v>
      </c>
      <c r="R61" s="84" t="e">
        <f t="shared" si="9"/>
        <v>#DIV/0!</v>
      </c>
      <c r="S61" s="84" t="e">
        <f t="shared" si="9"/>
        <v>#DIV/0!</v>
      </c>
      <c r="T61" s="87" t="e">
        <f t="shared" si="9"/>
        <v>#DIV/0!</v>
      </c>
    </row>
    <row r="62" spans="2:20" ht="15" thickBot="1" x14ac:dyDescent="0.35">
      <c r="B62" s="45" t="s">
        <v>66</v>
      </c>
      <c r="C62" s="79"/>
      <c r="D62" s="79"/>
      <c r="E62" s="79"/>
      <c r="F62" s="79"/>
      <c r="G62" s="79"/>
      <c r="H62" s="79"/>
      <c r="I62" s="79"/>
      <c r="J62" s="79"/>
      <c r="K62" s="79"/>
      <c r="L62" s="79"/>
      <c r="M62" s="79"/>
      <c r="N62" s="79"/>
      <c r="O62" s="79"/>
      <c r="P62" s="79"/>
      <c r="Q62" s="79"/>
      <c r="R62" s="79"/>
      <c r="S62" s="79"/>
      <c r="T62" s="79"/>
    </row>
    <row r="63" spans="2:20" x14ac:dyDescent="0.3">
      <c r="B63" s="80" t="s">
        <v>84</v>
      </c>
      <c r="C63" s="81">
        <f>C62-C59</f>
        <v>0</v>
      </c>
      <c r="D63" s="81">
        <f>D62-D59</f>
        <v>0</v>
      </c>
      <c r="E63" s="81">
        <f t="shared" ref="E63:T63" si="10">E62-E59</f>
        <v>0</v>
      </c>
      <c r="F63" s="81">
        <f t="shared" si="10"/>
        <v>0</v>
      </c>
      <c r="G63" s="81">
        <f t="shared" si="10"/>
        <v>0</v>
      </c>
      <c r="H63" s="81">
        <f t="shared" si="10"/>
        <v>0</v>
      </c>
      <c r="I63" s="81">
        <f t="shared" si="10"/>
        <v>0</v>
      </c>
      <c r="J63" s="81">
        <f t="shared" si="10"/>
        <v>0</v>
      </c>
      <c r="K63" s="81">
        <f t="shared" si="10"/>
        <v>0</v>
      </c>
      <c r="L63" s="81">
        <f t="shared" si="10"/>
        <v>0</v>
      </c>
      <c r="M63" s="81">
        <f t="shared" si="10"/>
        <v>0</v>
      </c>
      <c r="N63" s="81">
        <f t="shared" si="10"/>
        <v>0</v>
      </c>
      <c r="O63" s="81">
        <f t="shared" si="10"/>
        <v>0</v>
      </c>
      <c r="P63" s="81">
        <f t="shared" si="10"/>
        <v>0</v>
      </c>
      <c r="Q63" s="81">
        <f t="shared" si="10"/>
        <v>0</v>
      </c>
      <c r="R63" s="81">
        <f t="shared" si="10"/>
        <v>0</v>
      </c>
      <c r="S63" s="81">
        <f t="shared" si="10"/>
        <v>0</v>
      </c>
      <c r="T63" s="82">
        <f t="shared" si="10"/>
        <v>0</v>
      </c>
    </row>
    <row r="64" spans="2:20" ht="15" thickBot="1" x14ac:dyDescent="0.35">
      <c r="B64" s="83" t="s">
        <v>86</v>
      </c>
      <c r="C64" s="84" t="e">
        <f>C63/C59</f>
        <v>#DIV/0!</v>
      </c>
      <c r="D64" s="84" t="e">
        <f>D63/D59</f>
        <v>#DIV/0!</v>
      </c>
      <c r="E64" s="84" t="e">
        <f t="shared" ref="E64:T64" si="11">E63/E59</f>
        <v>#DIV/0!</v>
      </c>
      <c r="F64" s="84" t="e">
        <f t="shared" si="11"/>
        <v>#DIV/0!</v>
      </c>
      <c r="G64" s="84" t="e">
        <f t="shared" si="11"/>
        <v>#DIV/0!</v>
      </c>
      <c r="H64" s="84" t="e">
        <f t="shared" si="11"/>
        <v>#DIV/0!</v>
      </c>
      <c r="I64" s="84" t="e">
        <f t="shared" si="11"/>
        <v>#DIV/0!</v>
      </c>
      <c r="J64" s="84" t="e">
        <f t="shared" si="11"/>
        <v>#DIV/0!</v>
      </c>
      <c r="K64" s="84" t="e">
        <f t="shared" si="11"/>
        <v>#DIV/0!</v>
      </c>
      <c r="L64" s="84" t="e">
        <f t="shared" si="11"/>
        <v>#DIV/0!</v>
      </c>
      <c r="M64" s="84" t="e">
        <f t="shared" si="11"/>
        <v>#DIV/0!</v>
      </c>
      <c r="N64" s="84" t="e">
        <f t="shared" si="11"/>
        <v>#DIV/0!</v>
      </c>
      <c r="O64" s="84" t="e">
        <f t="shared" si="11"/>
        <v>#DIV/0!</v>
      </c>
      <c r="P64" s="84" t="e">
        <f t="shared" si="11"/>
        <v>#DIV/0!</v>
      </c>
      <c r="Q64" s="84" t="e">
        <f t="shared" si="11"/>
        <v>#DIV/0!</v>
      </c>
      <c r="R64" s="84" t="e">
        <f t="shared" si="11"/>
        <v>#DIV/0!</v>
      </c>
      <c r="S64" s="84" t="e">
        <f t="shared" si="11"/>
        <v>#DIV/0!</v>
      </c>
      <c r="T64" s="87" t="e">
        <f t="shared" si="11"/>
        <v>#DIV/0!</v>
      </c>
    </row>
    <row r="65" spans="2:20" ht="15" thickBot="1" x14ac:dyDescent="0.35">
      <c r="B65" s="45" t="s">
        <v>67</v>
      </c>
      <c r="C65" s="79"/>
      <c r="D65" s="79"/>
      <c r="E65" s="79"/>
      <c r="F65" s="79"/>
      <c r="G65" s="79"/>
      <c r="H65" s="79"/>
      <c r="I65" s="79"/>
      <c r="J65" s="79"/>
      <c r="K65" s="79"/>
      <c r="L65" s="79"/>
      <c r="M65" s="79"/>
      <c r="N65" s="79"/>
      <c r="O65" s="79"/>
      <c r="P65" s="79"/>
      <c r="Q65" s="79"/>
      <c r="R65" s="79"/>
      <c r="S65" s="79"/>
      <c r="T65" s="79"/>
    </row>
    <row r="66" spans="2:20" x14ac:dyDescent="0.3">
      <c r="B66" s="80" t="s">
        <v>84</v>
      </c>
      <c r="C66" s="81">
        <f>C65-C62</f>
        <v>0</v>
      </c>
      <c r="D66" s="81">
        <f>D65-D62</f>
        <v>0</v>
      </c>
      <c r="E66" s="81">
        <f t="shared" ref="E66:T66" si="12">E65-E62</f>
        <v>0</v>
      </c>
      <c r="F66" s="81">
        <f t="shared" si="12"/>
        <v>0</v>
      </c>
      <c r="G66" s="81">
        <f t="shared" si="12"/>
        <v>0</v>
      </c>
      <c r="H66" s="81">
        <f t="shared" si="12"/>
        <v>0</v>
      </c>
      <c r="I66" s="81">
        <f t="shared" si="12"/>
        <v>0</v>
      </c>
      <c r="J66" s="81">
        <f t="shared" si="12"/>
        <v>0</v>
      </c>
      <c r="K66" s="81">
        <f t="shared" si="12"/>
        <v>0</v>
      </c>
      <c r="L66" s="81">
        <f t="shared" si="12"/>
        <v>0</v>
      </c>
      <c r="M66" s="81">
        <f t="shared" si="12"/>
        <v>0</v>
      </c>
      <c r="N66" s="81">
        <f t="shared" si="12"/>
        <v>0</v>
      </c>
      <c r="O66" s="81">
        <f t="shared" si="12"/>
        <v>0</v>
      </c>
      <c r="P66" s="81">
        <f t="shared" si="12"/>
        <v>0</v>
      </c>
      <c r="Q66" s="81">
        <f t="shared" si="12"/>
        <v>0</v>
      </c>
      <c r="R66" s="81">
        <f t="shared" si="12"/>
        <v>0</v>
      </c>
      <c r="S66" s="81">
        <f t="shared" si="12"/>
        <v>0</v>
      </c>
      <c r="T66" s="82">
        <f t="shared" si="12"/>
        <v>0</v>
      </c>
    </row>
    <row r="67" spans="2:20" ht="15" thickBot="1" x14ac:dyDescent="0.35">
      <c r="B67" s="90" t="s">
        <v>86</v>
      </c>
      <c r="C67" s="91" t="e">
        <f>C66/C62</f>
        <v>#DIV/0!</v>
      </c>
      <c r="D67" s="91" t="e">
        <f>D66/D62</f>
        <v>#DIV/0!</v>
      </c>
      <c r="E67" s="91" t="e">
        <f t="shared" ref="E67:T67" si="13">E66/E62</f>
        <v>#DIV/0!</v>
      </c>
      <c r="F67" s="91" t="e">
        <f t="shared" si="13"/>
        <v>#DIV/0!</v>
      </c>
      <c r="G67" s="91" t="e">
        <f t="shared" si="13"/>
        <v>#DIV/0!</v>
      </c>
      <c r="H67" s="91" t="e">
        <f t="shared" si="13"/>
        <v>#DIV/0!</v>
      </c>
      <c r="I67" s="91" t="e">
        <f t="shared" si="13"/>
        <v>#DIV/0!</v>
      </c>
      <c r="J67" s="91" t="e">
        <f t="shared" si="13"/>
        <v>#DIV/0!</v>
      </c>
      <c r="K67" s="91" t="e">
        <f t="shared" si="13"/>
        <v>#DIV/0!</v>
      </c>
      <c r="L67" s="91" t="e">
        <f t="shared" si="13"/>
        <v>#DIV/0!</v>
      </c>
      <c r="M67" s="91" t="e">
        <f t="shared" si="13"/>
        <v>#DIV/0!</v>
      </c>
      <c r="N67" s="91" t="e">
        <f t="shared" si="13"/>
        <v>#DIV/0!</v>
      </c>
      <c r="O67" s="91" t="e">
        <f t="shared" si="13"/>
        <v>#DIV/0!</v>
      </c>
      <c r="P67" s="91" t="e">
        <f t="shared" si="13"/>
        <v>#DIV/0!</v>
      </c>
      <c r="Q67" s="91" t="e">
        <f t="shared" si="13"/>
        <v>#DIV/0!</v>
      </c>
      <c r="R67" s="91" t="e">
        <f t="shared" si="13"/>
        <v>#DIV/0!</v>
      </c>
      <c r="S67" s="91" t="e">
        <f t="shared" si="13"/>
        <v>#DIV/0!</v>
      </c>
      <c r="T67" s="86" t="e">
        <f t="shared" si="13"/>
        <v>#DIV/0!</v>
      </c>
    </row>
    <row r="68" spans="2:20" ht="15" thickBot="1" x14ac:dyDescent="0.35">
      <c r="B68" s="159" t="s">
        <v>123</v>
      </c>
      <c r="C68" s="161">
        <f>AVERAGE(C34:C35,C38,C44,C41,C47,C50,C53,C56,C59,C62,C65)</f>
        <v>-116.57142857142857</v>
      </c>
      <c r="D68" s="162">
        <f t="shared" ref="D68:T68" si="14">AVERAGE(D34:D35,D38,D44,D41,D47,D50,D53,D56,D59,D62,D65)</f>
        <v>-84.833333333333329</v>
      </c>
      <c r="E68" s="163">
        <f t="shared" si="14"/>
        <v>14.571428571428571</v>
      </c>
      <c r="F68" s="162">
        <f t="shared" si="14"/>
        <v>-58</v>
      </c>
      <c r="G68" s="161">
        <f t="shared" si="14"/>
        <v>6.8571428571428568</v>
      </c>
      <c r="H68" s="162">
        <f t="shared" si="14"/>
        <v>-10.5</v>
      </c>
      <c r="I68" s="163">
        <f t="shared" si="14"/>
        <v>71</v>
      </c>
      <c r="J68" s="162">
        <f t="shared" si="14"/>
        <v>-17.666666666666668</v>
      </c>
      <c r="K68" s="161">
        <f t="shared" si="14"/>
        <v>-466</v>
      </c>
      <c r="L68" s="162">
        <f t="shared" si="14"/>
        <v>-108.16666666666667</v>
      </c>
      <c r="M68" s="163">
        <f t="shared" si="14"/>
        <v>285.57142857142856</v>
      </c>
      <c r="N68" s="162">
        <f t="shared" si="14"/>
        <v>304.33333333333331</v>
      </c>
      <c r="O68" s="161">
        <f t="shared" si="14"/>
        <v>-22.285714285714285</v>
      </c>
      <c r="P68" s="162">
        <f t="shared" si="14"/>
        <v>-10.666666666666666</v>
      </c>
      <c r="Q68" s="163">
        <f t="shared" si="14"/>
        <v>-145.71428571428572</v>
      </c>
      <c r="R68" s="162">
        <f t="shared" si="14"/>
        <v>-135.66666666666666</v>
      </c>
      <c r="S68" s="161">
        <f t="shared" si="14"/>
        <v>-41.833333333333336</v>
      </c>
      <c r="T68" s="162">
        <f t="shared" si="14"/>
        <v>-33</v>
      </c>
    </row>
    <row r="69" spans="2:20" ht="15" thickBot="1" x14ac:dyDescent="0.35">
      <c r="B69" s="160" t="s">
        <v>124</v>
      </c>
      <c r="C69" s="662">
        <f>(C68-D68)/C68</f>
        <v>0.27226307189542487</v>
      </c>
      <c r="D69" s="663"/>
      <c r="E69" s="662">
        <f>(E68-F68)/E68</f>
        <v>4.9803921568627452</v>
      </c>
      <c r="F69" s="663"/>
      <c r="G69" s="662">
        <f>(G68-H68)/G68</f>
        <v>2.53125</v>
      </c>
      <c r="H69" s="663"/>
      <c r="I69" s="662">
        <f>(I68-J68)/I68</f>
        <v>1.2488262910798122</v>
      </c>
      <c r="J69" s="663"/>
      <c r="K69" s="662">
        <f>(K68-L68)/K68</f>
        <v>0.76788268955650929</v>
      </c>
      <c r="L69" s="663"/>
      <c r="M69" s="662">
        <f>(M68-N68)/M68</f>
        <v>-6.5699516424879104E-2</v>
      </c>
      <c r="N69" s="663"/>
      <c r="O69" s="662">
        <f>(O68-P68)/O68</f>
        <v>0.5213675213675214</v>
      </c>
      <c r="P69" s="663"/>
      <c r="Q69" s="662">
        <f>(Q68-R68)/Q68</f>
        <v>6.8954248366013188E-2</v>
      </c>
      <c r="R69" s="663"/>
      <c r="S69" s="662">
        <f>(S68-T68)/S68</f>
        <v>0.21115537848605581</v>
      </c>
      <c r="T69" s="663"/>
    </row>
    <row r="70" spans="2:20" x14ac:dyDescent="0.3"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</row>
    <row r="71" spans="2:20" x14ac:dyDescent="0.3">
      <c r="B71" s="664" t="s">
        <v>125</v>
      </c>
      <c r="C71" s="664"/>
      <c r="D71" s="664"/>
      <c r="E71" s="664"/>
      <c r="F71" s="664"/>
      <c r="G71" s="664"/>
      <c r="H71" s="664"/>
      <c r="I71" s="664"/>
      <c r="J71" s="664"/>
      <c r="K71" s="664"/>
      <c r="L71" s="664"/>
      <c r="M71" s="664"/>
      <c r="N71" s="664"/>
      <c r="O71" s="664"/>
      <c r="P71" s="664"/>
      <c r="Q71" s="664"/>
      <c r="R71" s="664"/>
      <c r="S71" s="664"/>
      <c r="T71" s="664"/>
    </row>
    <row r="72" spans="2:20" x14ac:dyDescent="0.3">
      <c r="B72" s="192"/>
      <c r="C72" s="665" t="s">
        <v>126</v>
      </c>
      <c r="D72" s="665"/>
      <c r="E72" s="665" t="s">
        <v>127</v>
      </c>
      <c r="F72" s="665"/>
      <c r="G72" s="665" t="s">
        <v>403</v>
      </c>
      <c r="H72" s="665"/>
      <c r="I72" s="665" t="s">
        <v>128</v>
      </c>
      <c r="J72" s="665"/>
      <c r="K72" s="665" t="s">
        <v>129</v>
      </c>
      <c r="L72" s="665"/>
      <c r="M72" s="665" t="s">
        <v>130</v>
      </c>
      <c r="N72" s="665"/>
      <c r="O72" s="665" t="s">
        <v>131</v>
      </c>
      <c r="P72" s="665"/>
      <c r="Q72" s="665" t="s">
        <v>212</v>
      </c>
      <c r="R72" s="665"/>
      <c r="S72" s="665" t="s">
        <v>132</v>
      </c>
      <c r="T72" s="665"/>
    </row>
    <row r="73" spans="2:20" ht="15" thickBot="1" x14ac:dyDescent="0.35">
      <c r="B73" s="192"/>
      <c r="C73" s="192">
        <v>20</v>
      </c>
      <c r="D73" s="192">
        <v>32</v>
      </c>
      <c r="E73" s="192">
        <v>20</v>
      </c>
      <c r="F73" s="192">
        <v>32</v>
      </c>
      <c r="G73" s="192">
        <v>20</v>
      </c>
      <c r="H73" s="192">
        <v>32</v>
      </c>
      <c r="I73" s="192">
        <v>20</v>
      </c>
      <c r="J73" s="192">
        <v>32</v>
      </c>
      <c r="K73" s="192">
        <v>20</v>
      </c>
      <c r="L73" s="192">
        <v>32</v>
      </c>
      <c r="M73" s="192">
        <v>20</v>
      </c>
      <c r="N73" s="192">
        <v>32</v>
      </c>
      <c r="O73" s="192">
        <v>20</v>
      </c>
      <c r="P73" s="192">
        <v>32</v>
      </c>
      <c r="Q73" s="192">
        <v>20</v>
      </c>
      <c r="R73" s="192">
        <v>32</v>
      </c>
      <c r="S73" s="192">
        <v>20</v>
      </c>
      <c r="T73" s="192">
        <v>32</v>
      </c>
    </row>
    <row r="74" spans="2:20" ht="15" thickBot="1" x14ac:dyDescent="0.35">
      <c r="B74" s="44" t="s">
        <v>57</v>
      </c>
      <c r="C74" s="78">
        <v>-30</v>
      </c>
      <c r="D74" s="78">
        <v>-6.6</v>
      </c>
      <c r="E74" s="78">
        <v>57</v>
      </c>
      <c r="F74" s="78">
        <v>6.2</v>
      </c>
      <c r="G74" s="78"/>
      <c r="H74" s="78"/>
      <c r="I74" s="78">
        <v>5.5</v>
      </c>
      <c r="J74" s="78">
        <v>2</v>
      </c>
      <c r="K74" s="78">
        <v>6.9</v>
      </c>
      <c r="L74" s="78">
        <v>1.2</v>
      </c>
      <c r="M74" s="78">
        <v>0.24</v>
      </c>
      <c r="N74" s="78">
        <v>-1.6</v>
      </c>
      <c r="O74" s="78">
        <v>4.7</v>
      </c>
      <c r="P74" s="78">
        <v>2.2000000000000002</v>
      </c>
      <c r="Q74" s="78">
        <v>-7.8</v>
      </c>
      <c r="R74" s="78">
        <v>-7.3</v>
      </c>
      <c r="S74" s="78">
        <v>111</v>
      </c>
      <c r="T74" s="78">
        <v>25</v>
      </c>
    </row>
    <row r="75" spans="2:20" ht="15" thickBot="1" x14ac:dyDescent="0.35">
      <c r="B75" s="45" t="s">
        <v>58</v>
      </c>
      <c r="C75" s="79">
        <v>-136</v>
      </c>
      <c r="D75" s="79">
        <v>-5</v>
      </c>
      <c r="E75" s="79">
        <v>27.135999999999999</v>
      </c>
      <c r="F75" s="79">
        <v>1.4</v>
      </c>
      <c r="G75" s="79">
        <v>-50.5</v>
      </c>
      <c r="H75" s="79"/>
      <c r="I75" s="79">
        <v>4.04</v>
      </c>
      <c r="J75" s="79">
        <v>0.6</v>
      </c>
      <c r="K75" s="79">
        <v>3.6</v>
      </c>
      <c r="L75" s="79">
        <v>-1.3</v>
      </c>
      <c r="M75" s="79">
        <v>-0.6</v>
      </c>
      <c r="N75" s="79">
        <v>-3.6</v>
      </c>
      <c r="O75" s="79">
        <v>5.4</v>
      </c>
      <c r="P75" s="79">
        <v>2.8</v>
      </c>
      <c r="Q75" s="79">
        <v>-9</v>
      </c>
      <c r="R75" s="79">
        <v>-8</v>
      </c>
      <c r="S75" s="79">
        <v>90</v>
      </c>
      <c r="T75" s="79">
        <v>13</v>
      </c>
    </row>
    <row r="76" spans="2:20" x14ac:dyDescent="0.3">
      <c r="B76" s="80" t="s">
        <v>84</v>
      </c>
      <c r="C76" s="81">
        <v>-106</v>
      </c>
      <c r="D76" s="81">
        <v>1.6</v>
      </c>
      <c r="E76" s="81">
        <v>39</v>
      </c>
      <c r="F76" s="81">
        <v>-4.8</v>
      </c>
      <c r="G76" s="81">
        <v>-50.5</v>
      </c>
      <c r="H76" s="81">
        <v>0</v>
      </c>
      <c r="I76" s="81">
        <v>3.4</v>
      </c>
      <c r="J76" s="81">
        <v>-1.4</v>
      </c>
      <c r="K76" s="81">
        <v>2.7</v>
      </c>
      <c r="L76" s="81">
        <v>-2.5</v>
      </c>
      <c r="M76" s="81">
        <v>2</v>
      </c>
      <c r="N76" s="81">
        <v>-2</v>
      </c>
      <c r="O76" s="81">
        <v>1.9</v>
      </c>
      <c r="P76" s="81">
        <v>0.6</v>
      </c>
      <c r="Q76" s="81">
        <v>-4.9000000000000004</v>
      </c>
      <c r="R76" s="81">
        <v>-0.7</v>
      </c>
      <c r="S76" s="81">
        <v>45</v>
      </c>
      <c r="T76" s="82">
        <v>-12</v>
      </c>
    </row>
    <row r="77" spans="2:20" ht="15" thickBot="1" x14ac:dyDescent="0.35">
      <c r="B77" s="83" t="s">
        <v>86</v>
      </c>
      <c r="C77" s="84">
        <v>-3.53</v>
      </c>
      <c r="D77" s="84">
        <v>0.24</v>
      </c>
      <c r="E77" s="85">
        <v>0.02</v>
      </c>
      <c r="F77" s="85">
        <v>-0.77</v>
      </c>
      <c r="G77" s="85" t="e">
        <v>#DIV/0!</v>
      </c>
      <c r="H77" s="85" t="e">
        <v>#DIV/0!</v>
      </c>
      <c r="I77" s="85">
        <v>-0.62</v>
      </c>
      <c r="J77" s="85">
        <v>-0.7</v>
      </c>
      <c r="K77" s="85">
        <v>0.39</v>
      </c>
      <c r="L77" s="85">
        <v>-2.08</v>
      </c>
      <c r="M77" s="85">
        <v>-8.33</v>
      </c>
      <c r="N77" s="85">
        <v>-1.25</v>
      </c>
      <c r="O77" s="85">
        <v>-0.4</v>
      </c>
      <c r="P77" s="85">
        <v>-0.27</v>
      </c>
      <c r="Q77" s="85">
        <v>-0.63</v>
      </c>
      <c r="R77" s="85">
        <v>-0.1</v>
      </c>
      <c r="S77" s="85">
        <v>-0.41</v>
      </c>
      <c r="T77" s="86">
        <v>0.48</v>
      </c>
    </row>
    <row r="78" spans="2:20" ht="15" thickBot="1" x14ac:dyDescent="0.35">
      <c r="B78" s="45" t="s">
        <v>59</v>
      </c>
      <c r="C78" s="79">
        <v>27.66</v>
      </c>
      <c r="D78" s="79">
        <v>-42</v>
      </c>
      <c r="E78" s="79">
        <v>56.603000000000002</v>
      </c>
      <c r="F78" s="187">
        <v>25</v>
      </c>
      <c r="G78" s="79">
        <v>-19</v>
      </c>
      <c r="H78" s="79">
        <v>-26.8</v>
      </c>
      <c r="I78" s="79">
        <v>5.4</v>
      </c>
      <c r="J78" s="79">
        <v>3.5</v>
      </c>
      <c r="K78" s="79">
        <v>-6.3</v>
      </c>
      <c r="L78" s="79">
        <v>2</v>
      </c>
      <c r="M78" s="79">
        <v>-1.24</v>
      </c>
      <c r="N78" s="79">
        <v>-2.6</v>
      </c>
      <c r="O78" s="79"/>
      <c r="P78" s="79">
        <v>2.1</v>
      </c>
      <c r="Q78" s="79">
        <v>-10.724</v>
      </c>
      <c r="R78" s="79">
        <v>-10.7</v>
      </c>
      <c r="S78" s="79">
        <v>67</v>
      </c>
      <c r="T78" s="79">
        <v>2.2000000000000002</v>
      </c>
    </row>
    <row r="79" spans="2:20" x14ac:dyDescent="0.3">
      <c r="B79" s="80" t="s">
        <v>84</v>
      </c>
      <c r="C79" s="81">
        <v>163.66</v>
      </c>
      <c r="D79" s="81">
        <v>-37</v>
      </c>
      <c r="E79" s="81">
        <v>29.466999999999999</v>
      </c>
      <c r="F79" s="81">
        <v>23.6</v>
      </c>
      <c r="G79" s="81">
        <v>31.5</v>
      </c>
      <c r="H79" s="81">
        <v>-26.8</v>
      </c>
      <c r="I79" s="81">
        <v>1.36</v>
      </c>
      <c r="J79" s="81">
        <v>2.9</v>
      </c>
      <c r="K79" s="81">
        <v>-9.9</v>
      </c>
      <c r="L79" s="81">
        <v>3.3</v>
      </c>
      <c r="M79" s="81">
        <v>-0.64</v>
      </c>
      <c r="N79" s="81">
        <v>1</v>
      </c>
      <c r="O79" s="81">
        <v>-5.4</v>
      </c>
      <c r="P79" s="81">
        <v>-0.7</v>
      </c>
      <c r="Q79" s="81">
        <v>-1.724</v>
      </c>
      <c r="R79" s="81">
        <v>-2.7</v>
      </c>
      <c r="S79" s="81">
        <v>-23</v>
      </c>
      <c r="T79" s="82">
        <v>-10.8</v>
      </c>
    </row>
    <row r="80" spans="2:20" ht="15" thickBot="1" x14ac:dyDescent="0.35">
      <c r="B80" s="83" t="s">
        <v>86</v>
      </c>
      <c r="C80" s="84">
        <v>-1.2</v>
      </c>
      <c r="D80" s="84">
        <v>7.4</v>
      </c>
      <c r="E80" s="84">
        <v>1.0900000000000001</v>
      </c>
      <c r="F80" s="84">
        <v>16.86</v>
      </c>
      <c r="G80" s="84">
        <v>-0.62</v>
      </c>
      <c r="H80" s="84" t="e">
        <v>#DIV/0!</v>
      </c>
      <c r="I80" s="84">
        <v>0.34</v>
      </c>
      <c r="J80" s="84">
        <v>4.83</v>
      </c>
      <c r="K80" s="84">
        <v>-2.75</v>
      </c>
      <c r="L80" s="84">
        <v>-2.54</v>
      </c>
      <c r="M80" s="84">
        <v>1.07</v>
      </c>
      <c r="N80" s="84">
        <v>-0.28000000000000003</v>
      </c>
      <c r="O80" s="84">
        <v>-1</v>
      </c>
      <c r="P80" s="84">
        <v>-0.25</v>
      </c>
      <c r="Q80" s="84">
        <v>0.19</v>
      </c>
      <c r="R80" s="84">
        <v>0.34</v>
      </c>
      <c r="S80" s="84">
        <v>-0.26</v>
      </c>
      <c r="T80" s="87">
        <v>-0.83</v>
      </c>
    </row>
    <row r="81" spans="2:20" ht="15" thickBot="1" x14ac:dyDescent="0.35">
      <c r="B81" s="45" t="s">
        <v>2</v>
      </c>
      <c r="C81" s="79">
        <v>-89</v>
      </c>
      <c r="D81" s="79">
        <v>-67</v>
      </c>
      <c r="E81" s="79">
        <v>20</v>
      </c>
      <c r="F81" s="187">
        <v>3.5</v>
      </c>
      <c r="G81" s="79">
        <v>-53.89</v>
      </c>
      <c r="H81" s="79">
        <v>-5.7</v>
      </c>
      <c r="I81" s="79">
        <v>6</v>
      </c>
      <c r="J81" s="79">
        <v>0.3</v>
      </c>
      <c r="K81" s="79">
        <v>-7.7</v>
      </c>
      <c r="L81" s="79">
        <v>0.7</v>
      </c>
      <c r="M81" s="79">
        <v>-6.9</v>
      </c>
      <c r="N81" s="79">
        <v>-5</v>
      </c>
      <c r="O81" s="79">
        <v>5</v>
      </c>
      <c r="P81" s="79">
        <v>2</v>
      </c>
      <c r="Q81" s="79">
        <v>-83</v>
      </c>
      <c r="R81" s="79">
        <v>-10</v>
      </c>
      <c r="S81" s="79">
        <v>95.01</v>
      </c>
      <c r="T81" s="79">
        <v>-16</v>
      </c>
    </row>
    <row r="82" spans="2:20" x14ac:dyDescent="0.3">
      <c r="B82" s="80" t="s">
        <v>84</v>
      </c>
      <c r="C82" s="88">
        <v>-116.66</v>
      </c>
      <c r="D82" s="88">
        <v>-25</v>
      </c>
      <c r="E82" s="88">
        <v>-36.603000000000002</v>
      </c>
      <c r="F82" s="88">
        <v>-21.5</v>
      </c>
      <c r="G82" s="88">
        <v>-34.89</v>
      </c>
      <c r="H82" s="88">
        <v>21.1</v>
      </c>
      <c r="I82" s="88">
        <v>0.6</v>
      </c>
      <c r="J82" s="88">
        <v>-3.2</v>
      </c>
      <c r="K82" s="88">
        <v>-1.4</v>
      </c>
      <c r="L82" s="88">
        <v>-1.3</v>
      </c>
      <c r="M82" s="88">
        <v>-5.66</v>
      </c>
      <c r="N82" s="88">
        <v>-2.4</v>
      </c>
      <c r="O82" s="88">
        <v>5</v>
      </c>
      <c r="P82" s="88">
        <v>-0.1</v>
      </c>
      <c r="Q82" s="88">
        <v>-72.275999999999996</v>
      </c>
      <c r="R82" s="88">
        <v>0.7</v>
      </c>
      <c r="S82" s="88">
        <v>28.01</v>
      </c>
      <c r="T82" s="88">
        <v>-18.2</v>
      </c>
    </row>
    <row r="83" spans="2:20" ht="15" thickBot="1" x14ac:dyDescent="0.35">
      <c r="B83" s="83" t="s">
        <v>86</v>
      </c>
      <c r="C83" s="85">
        <v>-4.22</v>
      </c>
      <c r="D83" s="85">
        <v>0.6</v>
      </c>
      <c r="E83" s="85">
        <v>-0.65</v>
      </c>
      <c r="F83" s="85">
        <v>-0.86</v>
      </c>
      <c r="G83" s="85">
        <v>1.84</v>
      </c>
      <c r="H83" s="85">
        <v>-0.79</v>
      </c>
      <c r="I83" s="85">
        <v>0.11</v>
      </c>
      <c r="J83" s="85">
        <v>-0.91</v>
      </c>
      <c r="K83" s="85">
        <v>0.22</v>
      </c>
      <c r="L83" s="85">
        <v>-0.65</v>
      </c>
      <c r="M83" s="85">
        <v>4.5599999999999996</v>
      </c>
      <c r="N83" s="85">
        <v>0.92</v>
      </c>
      <c r="O83" s="85" t="e">
        <v>#DIV/0!</v>
      </c>
      <c r="P83" s="85">
        <v>-0.05</v>
      </c>
      <c r="Q83" s="85">
        <v>6.74</v>
      </c>
      <c r="R83" s="85">
        <v>-7.0000000000000007E-2</v>
      </c>
      <c r="S83" s="85">
        <v>0.42</v>
      </c>
      <c r="T83" s="85">
        <v>-8.27</v>
      </c>
    </row>
    <row r="84" spans="2:20" ht="15" thickBot="1" x14ac:dyDescent="0.35">
      <c r="B84" s="45" t="s">
        <v>60</v>
      </c>
      <c r="C84" s="79">
        <v>-7.9</v>
      </c>
      <c r="D84" s="79"/>
      <c r="E84" s="79">
        <v>9.66</v>
      </c>
      <c r="F84" s="79"/>
      <c r="G84" s="79">
        <v>-22.93</v>
      </c>
      <c r="H84" s="79"/>
      <c r="I84" s="79">
        <v>2.9</v>
      </c>
      <c r="J84" s="79"/>
      <c r="K84" s="79">
        <v>3.28</v>
      </c>
      <c r="L84" s="79"/>
      <c r="M84" s="79">
        <v>1.62</v>
      </c>
      <c r="N84" s="79"/>
      <c r="O84" s="79">
        <v>4.51</v>
      </c>
      <c r="P84" s="79"/>
      <c r="Q84" s="79">
        <v>-8.14</v>
      </c>
      <c r="R84" s="79"/>
      <c r="S84" s="79">
        <v>80.099999999999994</v>
      </c>
      <c r="T84" s="79"/>
    </row>
    <row r="85" spans="2:20" x14ac:dyDescent="0.3">
      <c r="B85" s="80" t="s">
        <v>84</v>
      </c>
      <c r="C85" s="81">
        <v>81.099999999999994</v>
      </c>
      <c r="D85" s="81">
        <v>67</v>
      </c>
      <c r="E85" s="81">
        <v>-10.34</v>
      </c>
      <c r="F85" s="81">
        <v>-3.5</v>
      </c>
      <c r="G85" s="81">
        <v>30.96</v>
      </c>
      <c r="H85" s="81">
        <v>5.7</v>
      </c>
      <c r="I85" s="81">
        <v>-3.1</v>
      </c>
      <c r="J85" s="81">
        <v>-0.3</v>
      </c>
      <c r="K85" s="81">
        <v>10.98</v>
      </c>
      <c r="L85" s="81">
        <v>-0.7</v>
      </c>
      <c r="M85" s="81">
        <v>8.52</v>
      </c>
      <c r="N85" s="81">
        <v>5</v>
      </c>
      <c r="O85" s="81">
        <v>-0.49</v>
      </c>
      <c r="P85" s="81">
        <v>-2</v>
      </c>
      <c r="Q85" s="81">
        <v>74.86</v>
      </c>
      <c r="R85" s="81">
        <v>10</v>
      </c>
      <c r="S85" s="81">
        <v>-14.91</v>
      </c>
      <c r="T85" s="82">
        <v>16</v>
      </c>
    </row>
    <row r="86" spans="2:20" ht="15" thickBot="1" x14ac:dyDescent="0.35">
      <c r="B86" s="83" t="s">
        <v>86</v>
      </c>
      <c r="C86" s="84">
        <v>-0.91</v>
      </c>
      <c r="D86" s="84">
        <v>-1</v>
      </c>
      <c r="E86" s="84">
        <v>-0.52</v>
      </c>
      <c r="F86" s="84">
        <v>-1</v>
      </c>
      <c r="G86" s="84">
        <v>-0.56999999999999995</v>
      </c>
      <c r="H86" s="84">
        <v>-1</v>
      </c>
      <c r="I86" s="84">
        <v>-0.52</v>
      </c>
      <c r="J86" s="84">
        <v>-1</v>
      </c>
      <c r="K86" s="84">
        <v>-1.43</v>
      </c>
      <c r="L86" s="84">
        <v>-1</v>
      </c>
      <c r="M86" s="84">
        <v>-1.23</v>
      </c>
      <c r="N86" s="84">
        <v>-1</v>
      </c>
      <c r="O86" s="84">
        <v>-0.1</v>
      </c>
      <c r="P86" s="84">
        <v>-1</v>
      </c>
      <c r="Q86" s="84">
        <v>-0.9</v>
      </c>
      <c r="R86" s="84">
        <v>-1</v>
      </c>
      <c r="S86" s="84">
        <v>-0.16</v>
      </c>
      <c r="T86" s="87">
        <v>-1</v>
      </c>
    </row>
    <row r="87" spans="2:20" ht="15" thickBot="1" x14ac:dyDescent="0.35">
      <c r="B87" s="45" t="s">
        <v>61</v>
      </c>
      <c r="C87" s="79">
        <v>-25.4</v>
      </c>
      <c r="D87" s="79">
        <v>3</v>
      </c>
      <c r="E87" s="79">
        <v>-38.92</v>
      </c>
      <c r="F87" s="79">
        <v>-1.5</v>
      </c>
      <c r="G87" s="79">
        <v>41.5</v>
      </c>
      <c r="H87" s="79">
        <v>-15.5</v>
      </c>
      <c r="I87" s="79">
        <v>4.7</v>
      </c>
      <c r="J87" s="79">
        <v>-1.5</v>
      </c>
      <c r="K87" s="79">
        <v>11.58</v>
      </c>
      <c r="L87" s="79">
        <v>-4.0999999999999996</v>
      </c>
      <c r="M87" s="79">
        <v>-5.0999999999999996</v>
      </c>
      <c r="N87" s="79">
        <v>-3.2</v>
      </c>
      <c r="O87" s="79">
        <v>3.4</v>
      </c>
      <c r="P87" s="79">
        <v>0.6</v>
      </c>
      <c r="Q87" s="79">
        <v>-6</v>
      </c>
      <c r="R87" s="79">
        <v>-7.5</v>
      </c>
      <c r="S87" s="79">
        <v>101.2</v>
      </c>
      <c r="T87" s="79">
        <v>-37.9</v>
      </c>
    </row>
    <row r="88" spans="2:20" x14ac:dyDescent="0.3">
      <c r="B88" s="80" t="s">
        <v>84</v>
      </c>
      <c r="C88" s="81">
        <f>C87-C84</f>
        <v>-17.5</v>
      </c>
      <c r="D88" s="81">
        <f>D87-D84</f>
        <v>3</v>
      </c>
      <c r="E88" s="81">
        <f t="shared" ref="E88:T88" si="15">E87-E84</f>
        <v>-48.58</v>
      </c>
      <c r="F88" s="81">
        <f t="shared" si="15"/>
        <v>-1.5</v>
      </c>
      <c r="G88" s="81">
        <f t="shared" si="15"/>
        <v>64.430000000000007</v>
      </c>
      <c r="H88" s="81">
        <f t="shared" si="15"/>
        <v>-15.5</v>
      </c>
      <c r="I88" s="81">
        <f t="shared" si="15"/>
        <v>1.8000000000000003</v>
      </c>
      <c r="J88" s="81">
        <f t="shared" si="15"/>
        <v>-1.5</v>
      </c>
      <c r="K88" s="81">
        <f t="shared" si="15"/>
        <v>8.3000000000000007</v>
      </c>
      <c r="L88" s="81">
        <f t="shared" si="15"/>
        <v>-4.0999999999999996</v>
      </c>
      <c r="M88" s="81">
        <f t="shared" si="15"/>
        <v>-6.72</v>
      </c>
      <c r="N88" s="81">
        <f t="shared" si="15"/>
        <v>-3.2</v>
      </c>
      <c r="O88" s="81">
        <f t="shared" si="15"/>
        <v>-1.1099999999999999</v>
      </c>
      <c r="P88" s="81">
        <f t="shared" si="15"/>
        <v>0.6</v>
      </c>
      <c r="Q88" s="81">
        <f t="shared" si="15"/>
        <v>2.1400000000000006</v>
      </c>
      <c r="R88" s="81">
        <f t="shared" si="15"/>
        <v>-7.5</v>
      </c>
      <c r="S88" s="81">
        <f t="shared" si="15"/>
        <v>21.100000000000009</v>
      </c>
      <c r="T88" s="82">
        <f t="shared" si="15"/>
        <v>-37.9</v>
      </c>
    </row>
    <row r="89" spans="2:20" ht="15" thickBot="1" x14ac:dyDescent="0.35">
      <c r="B89" s="83" t="s">
        <v>86</v>
      </c>
      <c r="C89" s="84">
        <f>C88/C84</f>
        <v>2.2151898734177213</v>
      </c>
      <c r="D89" s="84" t="e">
        <f>D88/D84</f>
        <v>#DIV/0!</v>
      </c>
      <c r="E89" s="84">
        <f t="shared" ref="E89:T89" si="16">E88/E84</f>
        <v>-5.0289855072463769</v>
      </c>
      <c r="F89" s="84" t="e">
        <f t="shared" si="16"/>
        <v>#DIV/0!</v>
      </c>
      <c r="G89" s="84">
        <f t="shared" si="16"/>
        <v>-2.8098560837331013</v>
      </c>
      <c r="H89" s="84" t="e">
        <f t="shared" si="16"/>
        <v>#DIV/0!</v>
      </c>
      <c r="I89" s="84">
        <f t="shared" si="16"/>
        <v>0.62068965517241392</v>
      </c>
      <c r="J89" s="84" t="e">
        <f t="shared" si="16"/>
        <v>#DIV/0!</v>
      </c>
      <c r="K89" s="84">
        <f t="shared" si="16"/>
        <v>2.530487804878049</v>
      </c>
      <c r="L89" s="84" t="e">
        <f t="shared" si="16"/>
        <v>#DIV/0!</v>
      </c>
      <c r="M89" s="84">
        <f t="shared" si="16"/>
        <v>-4.1481481481481479</v>
      </c>
      <c r="N89" s="84" t="e">
        <f t="shared" si="16"/>
        <v>#DIV/0!</v>
      </c>
      <c r="O89" s="84">
        <f t="shared" si="16"/>
        <v>-0.24611973392461195</v>
      </c>
      <c r="P89" s="84" t="e">
        <f t="shared" si="16"/>
        <v>#DIV/0!</v>
      </c>
      <c r="Q89" s="84">
        <f t="shared" si="16"/>
        <v>-0.26289926289926296</v>
      </c>
      <c r="R89" s="84" t="e">
        <f t="shared" si="16"/>
        <v>#DIV/0!</v>
      </c>
      <c r="S89" s="84">
        <f t="shared" si="16"/>
        <v>0.26342072409488154</v>
      </c>
      <c r="T89" s="87" t="e">
        <f t="shared" si="16"/>
        <v>#DIV/0!</v>
      </c>
    </row>
    <row r="90" spans="2:20" ht="15" thickBot="1" x14ac:dyDescent="0.35">
      <c r="B90" s="45" t="s">
        <v>62</v>
      </c>
      <c r="C90" s="79">
        <v>75</v>
      </c>
      <c r="D90" s="79">
        <v>60</v>
      </c>
      <c r="E90" s="79">
        <v>-15</v>
      </c>
      <c r="F90" s="79">
        <v>15</v>
      </c>
      <c r="G90" s="79">
        <v>-81</v>
      </c>
      <c r="H90" s="79">
        <v>-20</v>
      </c>
      <c r="I90" s="79">
        <v>7</v>
      </c>
      <c r="J90" s="79">
        <v>-1</v>
      </c>
      <c r="K90" s="79">
        <v>20</v>
      </c>
      <c r="L90" s="79">
        <v>6</v>
      </c>
      <c r="M90" s="79"/>
      <c r="N90" s="79">
        <v>-7</v>
      </c>
      <c r="O90" s="79">
        <v>5</v>
      </c>
      <c r="P90" s="79">
        <v>2</v>
      </c>
      <c r="Q90" s="79">
        <v>-10</v>
      </c>
      <c r="R90" s="79">
        <v>-14</v>
      </c>
      <c r="S90" s="79">
        <v>158</v>
      </c>
      <c r="T90" s="79">
        <v>70</v>
      </c>
    </row>
    <row r="91" spans="2:20" x14ac:dyDescent="0.3">
      <c r="B91" s="80" t="s">
        <v>84</v>
      </c>
      <c r="C91" s="81">
        <f>C90-C87</f>
        <v>100.4</v>
      </c>
      <c r="D91" s="81">
        <f>D90-D87</f>
        <v>57</v>
      </c>
      <c r="E91" s="81">
        <f t="shared" ref="E91:T91" si="17">E90-E87</f>
        <v>23.92</v>
      </c>
      <c r="F91" s="81">
        <f t="shared" si="17"/>
        <v>16.5</v>
      </c>
      <c r="G91" s="81">
        <f t="shared" si="17"/>
        <v>-122.5</v>
      </c>
      <c r="H91" s="81">
        <f t="shared" si="17"/>
        <v>-4.5</v>
      </c>
      <c r="I91" s="81">
        <f t="shared" si="17"/>
        <v>2.2999999999999998</v>
      </c>
      <c r="J91" s="81">
        <f t="shared" si="17"/>
        <v>0.5</v>
      </c>
      <c r="K91" s="81">
        <f t="shared" si="17"/>
        <v>8.42</v>
      </c>
      <c r="L91" s="81">
        <f t="shared" si="17"/>
        <v>10.1</v>
      </c>
      <c r="M91" s="81">
        <f t="shared" si="17"/>
        <v>5.0999999999999996</v>
      </c>
      <c r="N91" s="81">
        <f t="shared" si="17"/>
        <v>-3.8</v>
      </c>
      <c r="O91" s="81">
        <f t="shared" si="17"/>
        <v>1.6</v>
      </c>
      <c r="P91" s="81">
        <f t="shared" si="17"/>
        <v>1.4</v>
      </c>
      <c r="Q91" s="81">
        <f t="shared" si="17"/>
        <v>-4</v>
      </c>
      <c r="R91" s="81">
        <f t="shared" si="17"/>
        <v>-6.5</v>
      </c>
      <c r="S91" s="81">
        <f t="shared" si="17"/>
        <v>56.8</v>
      </c>
      <c r="T91" s="82">
        <f t="shared" si="17"/>
        <v>107.9</v>
      </c>
    </row>
    <row r="92" spans="2:20" ht="15" thickBot="1" x14ac:dyDescent="0.35">
      <c r="B92" s="83" t="s">
        <v>86</v>
      </c>
      <c r="C92" s="84">
        <f>C91/C87</f>
        <v>-3.9527559055118116</v>
      </c>
      <c r="D92" s="84">
        <f>D91/D87</f>
        <v>19</v>
      </c>
      <c r="E92" s="84">
        <f t="shared" ref="E92:T92" si="18">E91/E87</f>
        <v>-0.61459403905447074</v>
      </c>
      <c r="F92" s="84">
        <f t="shared" si="18"/>
        <v>-11</v>
      </c>
      <c r="G92" s="84">
        <f t="shared" si="18"/>
        <v>-2.9518072289156625</v>
      </c>
      <c r="H92" s="84">
        <f t="shared" si="18"/>
        <v>0.29032258064516131</v>
      </c>
      <c r="I92" s="84">
        <f t="shared" si="18"/>
        <v>0.4893617021276595</v>
      </c>
      <c r="J92" s="84">
        <f t="shared" si="18"/>
        <v>-0.33333333333333331</v>
      </c>
      <c r="K92" s="84">
        <f t="shared" si="18"/>
        <v>0.72711571675302245</v>
      </c>
      <c r="L92" s="84">
        <f t="shared" si="18"/>
        <v>-2.4634146341463414</v>
      </c>
      <c r="M92" s="84">
        <f t="shared" si="18"/>
        <v>-1</v>
      </c>
      <c r="N92" s="84">
        <f t="shared" si="18"/>
        <v>1.1874999999999998</v>
      </c>
      <c r="O92" s="84">
        <f t="shared" si="18"/>
        <v>0.4705882352941177</v>
      </c>
      <c r="P92" s="84">
        <f t="shared" si="18"/>
        <v>2.3333333333333335</v>
      </c>
      <c r="Q92" s="84">
        <f t="shared" si="18"/>
        <v>0.66666666666666663</v>
      </c>
      <c r="R92" s="84">
        <f t="shared" si="18"/>
        <v>0.8666666666666667</v>
      </c>
      <c r="S92" s="84">
        <f t="shared" si="18"/>
        <v>0.56126482213438733</v>
      </c>
      <c r="T92" s="87">
        <f t="shared" si="18"/>
        <v>-2.8469656992084436</v>
      </c>
    </row>
    <row r="93" spans="2:20" ht="15" thickBot="1" x14ac:dyDescent="0.35">
      <c r="B93" s="45" t="s">
        <v>63</v>
      </c>
      <c r="C93" s="79"/>
      <c r="D93" s="79"/>
      <c r="E93" s="79"/>
      <c r="F93" s="79"/>
      <c r="G93" s="79"/>
      <c r="H93" s="79"/>
      <c r="I93" s="79"/>
      <c r="J93" s="79"/>
      <c r="K93" s="79"/>
      <c r="L93" s="79"/>
      <c r="M93" s="79"/>
      <c r="N93" s="79"/>
      <c r="O93" s="79"/>
      <c r="P93" s="79"/>
      <c r="Q93" s="79"/>
      <c r="R93" s="79"/>
      <c r="S93" s="79"/>
      <c r="T93" s="79"/>
    </row>
    <row r="94" spans="2:20" x14ac:dyDescent="0.3">
      <c r="B94" s="80" t="s">
        <v>84</v>
      </c>
      <c r="C94" s="81">
        <f>C93-C90</f>
        <v>-75</v>
      </c>
      <c r="D94" s="81">
        <f>D93-D90</f>
        <v>-60</v>
      </c>
      <c r="E94" s="81">
        <f t="shared" ref="E94:T94" si="19">E93-E90</f>
        <v>15</v>
      </c>
      <c r="F94" s="81">
        <f t="shared" si="19"/>
        <v>-15</v>
      </c>
      <c r="G94" s="81">
        <f t="shared" si="19"/>
        <v>81</v>
      </c>
      <c r="H94" s="81">
        <f t="shared" si="19"/>
        <v>20</v>
      </c>
      <c r="I94" s="81">
        <f t="shared" si="19"/>
        <v>-7</v>
      </c>
      <c r="J94" s="81">
        <f t="shared" si="19"/>
        <v>1</v>
      </c>
      <c r="K94" s="81">
        <f t="shared" si="19"/>
        <v>-20</v>
      </c>
      <c r="L94" s="81">
        <f t="shared" si="19"/>
        <v>-6</v>
      </c>
      <c r="M94" s="81">
        <f t="shared" si="19"/>
        <v>0</v>
      </c>
      <c r="N94" s="81">
        <f t="shared" si="19"/>
        <v>7</v>
      </c>
      <c r="O94" s="81">
        <f t="shared" si="19"/>
        <v>-5</v>
      </c>
      <c r="P94" s="81">
        <f t="shared" si="19"/>
        <v>-2</v>
      </c>
      <c r="Q94" s="81">
        <f t="shared" si="19"/>
        <v>10</v>
      </c>
      <c r="R94" s="81">
        <f t="shared" si="19"/>
        <v>14</v>
      </c>
      <c r="S94" s="81">
        <f t="shared" si="19"/>
        <v>-158</v>
      </c>
      <c r="T94" s="82">
        <f t="shared" si="19"/>
        <v>-70</v>
      </c>
    </row>
    <row r="95" spans="2:20" ht="15" thickBot="1" x14ac:dyDescent="0.35">
      <c r="B95" s="83" t="s">
        <v>86</v>
      </c>
      <c r="C95" s="84">
        <f>C94/C90</f>
        <v>-1</v>
      </c>
      <c r="D95" s="84">
        <f>D94/D90</f>
        <v>-1</v>
      </c>
      <c r="E95" s="84">
        <f t="shared" ref="E95:T95" si="20">E94/E90</f>
        <v>-1</v>
      </c>
      <c r="F95" s="84">
        <f t="shared" si="20"/>
        <v>-1</v>
      </c>
      <c r="G95" s="84">
        <f t="shared" si="20"/>
        <v>-1</v>
      </c>
      <c r="H95" s="84">
        <f t="shared" si="20"/>
        <v>-1</v>
      </c>
      <c r="I95" s="84">
        <f t="shared" si="20"/>
        <v>-1</v>
      </c>
      <c r="J95" s="84">
        <f t="shared" si="20"/>
        <v>-1</v>
      </c>
      <c r="K95" s="84">
        <f t="shared" si="20"/>
        <v>-1</v>
      </c>
      <c r="L95" s="84">
        <f t="shared" si="20"/>
        <v>-1</v>
      </c>
      <c r="M95" s="84" t="e">
        <f t="shared" si="20"/>
        <v>#DIV/0!</v>
      </c>
      <c r="N95" s="84">
        <f t="shared" si="20"/>
        <v>-1</v>
      </c>
      <c r="O95" s="84">
        <f t="shared" si="20"/>
        <v>-1</v>
      </c>
      <c r="P95" s="84">
        <f t="shared" si="20"/>
        <v>-1</v>
      </c>
      <c r="Q95" s="84">
        <f t="shared" si="20"/>
        <v>-1</v>
      </c>
      <c r="R95" s="84">
        <f t="shared" si="20"/>
        <v>-1</v>
      </c>
      <c r="S95" s="84">
        <f t="shared" si="20"/>
        <v>-1</v>
      </c>
      <c r="T95" s="87">
        <f t="shared" si="20"/>
        <v>-1</v>
      </c>
    </row>
    <row r="96" spans="2:20" ht="15" thickBot="1" x14ac:dyDescent="0.35">
      <c r="B96" s="45" t="s">
        <v>64</v>
      </c>
      <c r="C96" s="79"/>
      <c r="D96" s="79"/>
      <c r="E96" s="79"/>
      <c r="F96" s="79"/>
      <c r="G96" s="79"/>
      <c r="H96" s="79"/>
      <c r="I96" s="79"/>
      <c r="J96" s="79"/>
      <c r="K96" s="79"/>
      <c r="L96" s="79"/>
      <c r="M96" s="79"/>
      <c r="N96" s="79"/>
      <c r="O96" s="79"/>
      <c r="P96" s="79"/>
      <c r="Q96" s="79"/>
      <c r="R96" s="79"/>
      <c r="S96" s="79"/>
      <c r="T96" s="79"/>
    </row>
    <row r="97" spans="1:27" x14ac:dyDescent="0.3">
      <c r="A97" s="1"/>
      <c r="B97" s="80" t="s">
        <v>84</v>
      </c>
      <c r="C97" s="81">
        <f>C96-C93</f>
        <v>0</v>
      </c>
      <c r="D97" s="81">
        <f>D96-D93</f>
        <v>0</v>
      </c>
      <c r="E97" s="81">
        <f t="shared" ref="E97:T97" si="21">E96-E93</f>
        <v>0</v>
      </c>
      <c r="F97" s="81">
        <f t="shared" si="21"/>
        <v>0</v>
      </c>
      <c r="G97" s="81">
        <f t="shared" si="21"/>
        <v>0</v>
      </c>
      <c r="H97" s="81">
        <f t="shared" si="21"/>
        <v>0</v>
      </c>
      <c r="I97" s="81">
        <f t="shared" si="21"/>
        <v>0</v>
      </c>
      <c r="J97" s="81">
        <f t="shared" si="21"/>
        <v>0</v>
      </c>
      <c r="K97" s="81">
        <f t="shared" si="21"/>
        <v>0</v>
      </c>
      <c r="L97" s="81">
        <f t="shared" si="21"/>
        <v>0</v>
      </c>
      <c r="M97" s="81">
        <f t="shared" si="21"/>
        <v>0</v>
      </c>
      <c r="N97" s="81">
        <f t="shared" si="21"/>
        <v>0</v>
      </c>
      <c r="O97" s="81">
        <f t="shared" si="21"/>
        <v>0</v>
      </c>
      <c r="P97" s="81">
        <f t="shared" si="21"/>
        <v>0</v>
      </c>
      <c r="Q97" s="81">
        <f t="shared" si="21"/>
        <v>0</v>
      </c>
      <c r="R97" s="81">
        <f t="shared" si="21"/>
        <v>0</v>
      </c>
      <c r="S97" s="81">
        <f t="shared" si="21"/>
        <v>0</v>
      </c>
      <c r="T97" s="82">
        <f t="shared" si="21"/>
        <v>0</v>
      </c>
      <c r="U97" s="1"/>
      <c r="V97" s="1"/>
      <c r="W97" s="1"/>
      <c r="X97" s="1"/>
      <c r="Y97" s="1"/>
      <c r="Z97" s="1"/>
      <c r="AA97" s="1"/>
    </row>
    <row r="98" spans="1:27" ht="15" thickBot="1" x14ac:dyDescent="0.35">
      <c r="A98" s="1"/>
      <c r="B98" s="83" t="s">
        <v>86</v>
      </c>
      <c r="C98" s="84" t="e">
        <f>C97/C93</f>
        <v>#DIV/0!</v>
      </c>
      <c r="D98" s="84" t="e">
        <f>D97/D93</f>
        <v>#DIV/0!</v>
      </c>
      <c r="E98" s="84" t="e">
        <f t="shared" ref="E98:T98" si="22">E97/E93</f>
        <v>#DIV/0!</v>
      </c>
      <c r="F98" s="84" t="e">
        <f t="shared" si="22"/>
        <v>#DIV/0!</v>
      </c>
      <c r="G98" s="84" t="e">
        <f t="shared" si="22"/>
        <v>#DIV/0!</v>
      </c>
      <c r="H98" s="84" t="e">
        <f t="shared" si="22"/>
        <v>#DIV/0!</v>
      </c>
      <c r="I98" s="84" t="e">
        <f t="shared" si="22"/>
        <v>#DIV/0!</v>
      </c>
      <c r="J98" s="84" t="e">
        <f t="shared" si="22"/>
        <v>#DIV/0!</v>
      </c>
      <c r="K98" s="84" t="e">
        <f t="shared" si="22"/>
        <v>#DIV/0!</v>
      </c>
      <c r="L98" s="84" t="e">
        <f t="shared" si="22"/>
        <v>#DIV/0!</v>
      </c>
      <c r="M98" s="84" t="e">
        <f t="shared" si="22"/>
        <v>#DIV/0!</v>
      </c>
      <c r="N98" s="84" t="e">
        <f t="shared" si="22"/>
        <v>#DIV/0!</v>
      </c>
      <c r="O98" s="84" t="e">
        <f t="shared" si="22"/>
        <v>#DIV/0!</v>
      </c>
      <c r="P98" s="84" t="e">
        <f t="shared" si="22"/>
        <v>#DIV/0!</v>
      </c>
      <c r="Q98" s="84" t="e">
        <f t="shared" si="22"/>
        <v>#DIV/0!</v>
      </c>
      <c r="R98" s="84" t="e">
        <f t="shared" si="22"/>
        <v>#DIV/0!</v>
      </c>
      <c r="S98" s="84" t="e">
        <f t="shared" si="22"/>
        <v>#DIV/0!</v>
      </c>
      <c r="T98" s="87" t="e">
        <f t="shared" si="22"/>
        <v>#DIV/0!</v>
      </c>
      <c r="U98" s="1"/>
      <c r="V98" s="1"/>
      <c r="W98" s="1"/>
      <c r="X98" s="1"/>
      <c r="Y98" s="1"/>
      <c r="Z98" s="1"/>
      <c r="AA98" s="1"/>
    </row>
    <row r="99" spans="1:27" ht="15" thickBot="1" x14ac:dyDescent="0.35">
      <c r="A99" s="1"/>
      <c r="B99" s="45" t="s">
        <v>65</v>
      </c>
      <c r="C99" s="79"/>
      <c r="D99" s="79"/>
      <c r="E99" s="79"/>
      <c r="F99" s="79"/>
      <c r="G99" s="79"/>
      <c r="H99" s="79"/>
      <c r="I99" s="79"/>
      <c r="J99" s="79"/>
      <c r="K99" s="79"/>
      <c r="L99" s="79"/>
      <c r="M99" s="79"/>
      <c r="N99" s="79"/>
      <c r="O99" s="79"/>
      <c r="P99" s="79"/>
      <c r="Q99" s="79"/>
      <c r="R99" s="79"/>
      <c r="S99" s="79"/>
      <c r="T99" s="79"/>
      <c r="U99" s="1"/>
      <c r="V99" s="1"/>
      <c r="W99" s="1"/>
      <c r="X99" s="1"/>
      <c r="Y99" s="1"/>
      <c r="Z99" s="1"/>
      <c r="AA99" s="1"/>
    </row>
    <row r="100" spans="1:27" x14ac:dyDescent="0.3">
      <c r="A100" s="1"/>
      <c r="B100" s="80" t="s">
        <v>84</v>
      </c>
      <c r="C100" s="81">
        <f>C99-C96</f>
        <v>0</v>
      </c>
      <c r="D100" s="81">
        <f>D99-D96</f>
        <v>0</v>
      </c>
      <c r="E100" s="81">
        <f t="shared" ref="E100:T100" si="23">E99-E96</f>
        <v>0</v>
      </c>
      <c r="F100" s="81">
        <f t="shared" si="23"/>
        <v>0</v>
      </c>
      <c r="G100" s="81">
        <f t="shared" si="23"/>
        <v>0</v>
      </c>
      <c r="H100" s="81">
        <f t="shared" si="23"/>
        <v>0</v>
      </c>
      <c r="I100" s="81">
        <f t="shared" si="23"/>
        <v>0</v>
      </c>
      <c r="J100" s="81">
        <f t="shared" si="23"/>
        <v>0</v>
      </c>
      <c r="K100" s="81">
        <f t="shared" si="23"/>
        <v>0</v>
      </c>
      <c r="L100" s="81">
        <f t="shared" si="23"/>
        <v>0</v>
      </c>
      <c r="M100" s="81">
        <f t="shared" si="23"/>
        <v>0</v>
      </c>
      <c r="N100" s="81">
        <f t="shared" si="23"/>
        <v>0</v>
      </c>
      <c r="O100" s="81">
        <f t="shared" si="23"/>
        <v>0</v>
      </c>
      <c r="P100" s="81">
        <f t="shared" si="23"/>
        <v>0</v>
      </c>
      <c r="Q100" s="81">
        <f t="shared" si="23"/>
        <v>0</v>
      </c>
      <c r="R100" s="81">
        <f t="shared" si="23"/>
        <v>0</v>
      </c>
      <c r="S100" s="81">
        <f t="shared" si="23"/>
        <v>0</v>
      </c>
      <c r="T100" s="82">
        <f t="shared" si="23"/>
        <v>0</v>
      </c>
      <c r="U100" s="1"/>
      <c r="V100" s="1"/>
      <c r="W100" s="1"/>
      <c r="X100" s="1"/>
      <c r="Y100" s="1"/>
      <c r="Z100" s="1"/>
      <c r="AA100" s="1"/>
    </row>
    <row r="101" spans="1:27" ht="15" thickBot="1" x14ac:dyDescent="0.35">
      <c r="A101" s="1"/>
      <c r="B101" s="83" t="s">
        <v>86</v>
      </c>
      <c r="C101" s="84" t="e">
        <f>C100/C96</f>
        <v>#DIV/0!</v>
      </c>
      <c r="D101" s="84" t="e">
        <f>D100/D96</f>
        <v>#DIV/0!</v>
      </c>
      <c r="E101" s="84" t="e">
        <f t="shared" ref="E101:T101" si="24">E100/E96</f>
        <v>#DIV/0!</v>
      </c>
      <c r="F101" s="84" t="e">
        <f t="shared" si="24"/>
        <v>#DIV/0!</v>
      </c>
      <c r="G101" s="84" t="e">
        <f t="shared" si="24"/>
        <v>#DIV/0!</v>
      </c>
      <c r="H101" s="84" t="e">
        <f t="shared" si="24"/>
        <v>#DIV/0!</v>
      </c>
      <c r="I101" s="84" t="e">
        <f t="shared" si="24"/>
        <v>#DIV/0!</v>
      </c>
      <c r="J101" s="84" t="e">
        <f t="shared" si="24"/>
        <v>#DIV/0!</v>
      </c>
      <c r="K101" s="84" t="e">
        <f t="shared" si="24"/>
        <v>#DIV/0!</v>
      </c>
      <c r="L101" s="84" t="e">
        <f t="shared" si="24"/>
        <v>#DIV/0!</v>
      </c>
      <c r="M101" s="84" t="e">
        <f t="shared" si="24"/>
        <v>#DIV/0!</v>
      </c>
      <c r="N101" s="84" t="e">
        <f t="shared" si="24"/>
        <v>#DIV/0!</v>
      </c>
      <c r="O101" s="84" t="e">
        <f t="shared" si="24"/>
        <v>#DIV/0!</v>
      </c>
      <c r="P101" s="84" t="e">
        <f t="shared" si="24"/>
        <v>#DIV/0!</v>
      </c>
      <c r="Q101" s="84" t="e">
        <f t="shared" si="24"/>
        <v>#DIV/0!</v>
      </c>
      <c r="R101" s="84" t="e">
        <f t="shared" si="24"/>
        <v>#DIV/0!</v>
      </c>
      <c r="S101" s="84" t="e">
        <f t="shared" si="24"/>
        <v>#DIV/0!</v>
      </c>
      <c r="T101" s="87" t="e">
        <f t="shared" si="24"/>
        <v>#DIV/0!</v>
      </c>
      <c r="U101" s="1"/>
      <c r="V101" s="1"/>
      <c r="W101" s="1"/>
      <c r="X101" s="1"/>
      <c r="Y101" s="1"/>
      <c r="Z101" s="1"/>
      <c r="AA101" s="1"/>
    </row>
    <row r="102" spans="1:27" ht="15" thickBot="1" x14ac:dyDescent="0.35">
      <c r="A102" s="1"/>
      <c r="B102" s="45" t="s">
        <v>66</v>
      </c>
      <c r="C102" s="79"/>
      <c r="D102" s="79"/>
      <c r="E102" s="79"/>
      <c r="F102" s="79"/>
      <c r="G102" s="79"/>
      <c r="H102" s="79"/>
      <c r="I102" s="79"/>
      <c r="J102" s="79"/>
      <c r="K102" s="79"/>
      <c r="L102" s="79"/>
      <c r="M102" s="79"/>
      <c r="N102" s="79"/>
      <c r="O102" s="79"/>
      <c r="P102" s="79"/>
      <c r="Q102" s="79"/>
      <c r="R102" s="79"/>
      <c r="S102" s="79"/>
      <c r="T102" s="79"/>
      <c r="U102" s="1"/>
      <c r="V102" s="1"/>
      <c r="W102" s="1"/>
      <c r="X102" s="1"/>
      <c r="Y102" s="1"/>
      <c r="Z102" s="1"/>
      <c r="AA102" s="1"/>
    </row>
    <row r="103" spans="1:27" x14ac:dyDescent="0.3">
      <c r="A103" s="1"/>
      <c r="B103" s="80" t="s">
        <v>84</v>
      </c>
      <c r="C103" s="81">
        <f>C102-C99</f>
        <v>0</v>
      </c>
      <c r="D103" s="81">
        <f>D102-D99</f>
        <v>0</v>
      </c>
      <c r="E103" s="81">
        <f t="shared" ref="E103:T103" si="25">E102-E99</f>
        <v>0</v>
      </c>
      <c r="F103" s="81">
        <f t="shared" si="25"/>
        <v>0</v>
      </c>
      <c r="G103" s="81">
        <f t="shared" si="25"/>
        <v>0</v>
      </c>
      <c r="H103" s="81">
        <f t="shared" si="25"/>
        <v>0</v>
      </c>
      <c r="I103" s="81">
        <f t="shared" si="25"/>
        <v>0</v>
      </c>
      <c r="J103" s="81">
        <f t="shared" si="25"/>
        <v>0</v>
      </c>
      <c r="K103" s="81">
        <f t="shared" si="25"/>
        <v>0</v>
      </c>
      <c r="L103" s="81">
        <f t="shared" si="25"/>
        <v>0</v>
      </c>
      <c r="M103" s="81">
        <f t="shared" si="25"/>
        <v>0</v>
      </c>
      <c r="N103" s="81">
        <f t="shared" si="25"/>
        <v>0</v>
      </c>
      <c r="O103" s="81">
        <f t="shared" si="25"/>
        <v>0</v>
      </c>
      <c r="P103" s="81">
        <f t="shared" si="25"/>
        <v>0</v>
      </c>
      <c r="Q103" s="81">
        <f t="shared" si="25"/>
        <v>0</v>
      </c>
      <c r="R103" s="81">
        <f t="shared" si="25"/>
        <v>0</v>
      </c>
      <c r="S103" s="81">
        <f t="shared" si="25"/>
        <v>0</v>
      </c>
      <c r="T103" s="82">
        <f t="shared" si="25"/>
        <v>0</v>
      </c>
      <c r="U103" s="1"/>
      <c r="V103" s="1"/>
      <c r="W103" s="1"/>
      <c r="X103" s="1"/>
      <c r="Y103" s="1"/>
      <c r="Z103" s="1"/>
      <c r="AA103" s="1"/>
    </row>
    <row r="104" spans="1:27" ht="15" thickBot="1" x14ac:dyDescent="0.35">
      <c r="A104" s="1"/>
      <c r="B104" s="83" t="s">
        <v>86</v>
      </c>
      <c r="C104" s="84" t="e">
        <f>C103/C99</f>
        <v>#DIV/0!</v>
      </c>
      <c r="D104" s="84" t="e">
        <f>D103/D99</f>
        <v>#DIV/0!</v>
      </c>
      <c r="E104" s="84" t="e">
        <f t="shared" ref="E104:T104" si="26">E103/E99</f>
        <v>#DIV/0!</v>
      </c>
      <c r="F104" s="84" t="e">
        <f t="shared" si="26"/>
        <v>#DIV/0!</v>
      </c>
      <c r="G104" s="84" t="e">
        <f t="shared" si="26"/>
        <v>#DIV/0!</v>
      </c>
      <c r="H104" s="84" t="e">
        <f t="shared" si="26"/>
        <v>#DIV/0!</v>
      </c>
      <c r="I104" s="84" t="e">
        <f t="shared" si="26"/>
        <v>#DIV/0!</v>
      </c>
      <c r="J104" s="84" t="e">
        <f t="shared" si="26"/>
        <v>#DIV/0!</v>
      </c>
      <c r="K104" s="84" t="e">
        <f t="shared" si="26"/>
        <v>#DIV/0!</v>
      </c>
      <c r="L104" s="84" t="e">
        <f t="shared" si="26"/>
        <v>#DIV/0!</v>
      </c>
      <c r="M104" s="84" t="e">
        <f t="shared" si="26"/>
        <v>#DIV/0!</v>
      </c>
      <c r="N104" s="84" t="e">
        <f t="shared" si="26"/>
        <v>#DIV/0!</v>
      </c>
      <c r="O104" s="84" t="e">
        <f t="shared" si="26"/>
        <v>#DIV/0!</v>
      </c>
      <c r="P104" s="84" t="e">
        <f t="shared" si="26"/>
        <v>#DIV/0!</v>
      </c>
      <c r="Q104" s="84" t="e">
        <f t="shared" si="26"/>
        <v>#DIV/0!</v>
      </c>
      <c r="R104" s="84" t="e">
        <f t="shared" si="26"/>
        <v>#DIV/0!</v>
      </c>
      <c r="S104" s="84" t="e">
        <f t="shared" si="26"/>
        <v>#DIV/0!</v>
      </c>
      <c r="T104" s="87" t="e">
        <f t="shared" si="26"/>
        <v>#DIV/0!</v>
      </c>
      <c r="U104" s="1"/>
      <c r="V104" s="1"/>
      <c r="W104" s="1"/>
      <c r="X104" s="1"/>
      <c r="Y104" s="1"/>
      <c r="Z104" s="1"/>
      <c r="AA104" s="1"/>
    </row>
    <row r="105" spans="1:27" ht="15" thickBot="1" x14ac:dyDescent="0.35">
      <c r="A105" s="1"/>
      <c r="B105" s="45" t="s">
        <v>67</v>
      </c>
      <c r="C105" s="79"/>
      <c r="D105" s="79"/>
      <c r="E105" s="79"/>
      <c r="F105" s="79"/>
      <c r="G105" s="79"/>
      <c r="H105" s="79"/>
      <c r="I105" s="79"/>
      <c r="J105" s="79"/>
      <c r="K105" s="79"/>
      <c r="L105" s="79"/>
      <c r="M105" s="79"/>
      <c r="N105" s="79"/>
      <c r="O105" s="79"/>
      <c r="P105" s="79"/>
      <c r="Q105" s="79"/>
      <c r="R105" s="79"/>
      <c r="S105" s="79"/>
      <c r="T105" s="79"/>
      <c r="U105" s="1"/>
      <c r="V105" s="1"/>
      <c r="W105" s="1"/>
      <c r="X105" s="1"/>
      <c r="Y105" s="1"/>
      <c r="Z105" s="1"/>
      <c r="AA105" s="1"/>
    </row>
    <row r="106" spans="1:27" x14ac:dyDescent="0.3">
      <c r="A106" s="1"/>
      <c r="B106" s="80" t="s">
        <v>84</v>
      </c>
      <c r="C106" s="81">
        <f>C105-C102</f>
        <v>0</v>
      </c>
      <c r="D106" s="81">
        <f>D105-D102</f>
        <v>0</v>
      </c>
      <c r="E106" s="81">
        <f t="shared" ref="E106:T106" si="27">E105-E102</f>
        <v>0</v>
      </c>
      <c r="F106" s="81">
        <f t="shared" si="27"/>
        <v>0</v>
      </c>
      <c r="G106" s="81">
        <f t="shared" si="27"/>
        <v>0</v>
      </c>
      <c r="H106" s="81">
        <f t="shared" si="27"/>
        <v>0</v>
      </c>
      <c r="I106" s="81">
        <f t="shared" si="27"/>
        <v>0</v>
      </c>
      <c r="J106" s="81">
        <f t="shared" si="27"/>
        <v>0</v>
      </c>
      <c r="K106" s="81">
        <f t="shared" si="27"/>
        <v>0</v>
      </c>
      <c r="L106" s="81">
        <f t="shared" si="27"/>
        <v>0</v>
      </c>
      <c r="M106" s="81">
        <f t="shared" si="27"/>
        <v>0</v>
      </c>
      <c r="N106" s="81">
        <f t="shared" si="27"/>
        <v>0</v>
      </c>
      <c r="O106" s="81">
        <f t="shared" si="27"/>
        <v>0</v>
      </c>
      <c r="P106" s="81">
        <f t="shared" si="27"/>
        <v>0</v>
      </c>
      <c r="Q106" s="81">
        <f t="shared" si="27"/>
        <v>0</v>
      </c>
      <c r="R106" s="81">
        <f t="shared" si="27"/>
        <v>0</v>
      </c>
      <c r="S106" s="81">
        <f t="shared" si="27"/>
        <v>0</v>
      </c>
      <c r="T106" s="82">
        <f t="shared" si="27"/>
        <v>0</v>
      </c>
      <c r="U106" s="1"/>
      <c r="V106" s="1"/>
      <c r="W106" s="1"/>
      <c r="X106" s="1"/>
      <c r="Y106" s="1"/>
      <c r="Z106" s="1"/>
      <c r="AA106" s="1"/>
    </row>
    <row r="107" spans="1:27" ht="15" thickBot="1" x14ac:dyDescent="0.35">
      <c r="A107" s="1"/>
      <c r="B107" s="90" t="s">
        <v>86</v>
      </c>
      <c r="C107" s="91" t="e">
        <f>C106/C102</f>
        <v>#DIV/0!</v>
      </c>
      <c r="D107" s="91" t="e">
        <f>D106/D102</f>
        <v>#DIV/0!</v>
      </c>
      <c r="E107" s="91" t="e">
        <f t="shared" ref="E107:T107" si="28">E106/E102</f>
        <v>#DIV/0!</v>
      </c>
      <c r="F107" s="91" t="e">
        <f t="shared" si="28"/>
        <v>#DIV/0!</v>
      </c>
      <c r="G107" s="91" t="e">
        <f t="shared" si="28"/>
        <v>#DIV/0!</v>
      </c>
      <c r="H107" s="91" t="e">
        <f t="shared" si="28"/>
        <v>#DIV/0!</v>
      </c>
      <c r="I107" s="91" t="e">
        <f t="shared" si="28"/>
        <v>#DIV/0!</v>
      </c>
      <c r="J107" s="91" t="e">
        <f t="shared" si="28"/>
        <v>#DIV/0!</v>
      </c>
      <c r="K107" s="91" t="e">
        <f t="shared" si="28"/>
        <v>#DIV/0!</v>
      </c>
      <c r="L107" s="91" t="e">
        <f t="shared" si="28"/>
        <v>#DIV/0!</v>
      </c>
      <c r="M107" s="91" t="e">
        <f t="shared" si="28"/>
        <v>#DIV/0!</v>
      </c>
      <c r="N107" s="91" t="e">
        <f t="shared" si="28"/>
        <v>#DIV/0!</v>
      </c>
      <c r="O107" s="91" t="e">
        <f t="shared" si="28"/>
        <v>#DIV/0!</v>
      </c>
      <c r="P107" s="91" t="e">
        <f t="shared" si="28"/>
        <v>#DIV/0!</v>
      </c>
      <c r="Q107" s="91" t="e">
        <f t="shared" si="28"/>
        <v>#DIV/0!</v>
      </c>
      <c r="R107" s="91" t="e">
        <f t="shared" si="28"/>
        <v>#DIV/0!</v>
      </c>
      <c r="S107" s="91" t="e">
        <f t="shared" si="28"/>
        <v>#DIV/0!</v>
      </c>
      <c r="T107" s="86" t="e">
        <f t="shared" si="28"/>
        <v>#DIV/0!</v>
      </c>
      <c r="U107" s="1"/>
      <c r="V107" s="1"/>
      <c r="W107" s="1"/>
      <c r="X107" s="1"/>
      <c r="Y107" s="1"/>
      <c r="Z107" s="1"/>
      <c r="AA107" s="1"/>
    </row>
    <row r="108" spans="1:27" ht="15" thickBot="1" x14ac:dyDescent="0.35">
      <c r="A108" s="1"/>
      <c r="B108" s="159" t="s">
        <v>123</v>
      </c>
      <c r="C108" s="161">
        <f>AVERAGE(C74:C75,C78,C84,C81,C87,C90,C93,C96,C99,C102,C105)</f>
        <v>-26.52</v>
      </c>
      <c r="D108" s="162">
        <f t="shared" ref="D108:T108" si="29">AVERAGE(D74:D75,D78,D84,D81,D87,D90,D93,D96,D99,D102,D105)</f>
        <v>-9.6</v>
      </c>
      <c r="E108" s="163">
        <f t="shared" si="29"/>
        <v>16.639857142857142</v>
      </c>
      <c r="F108" s="162">
        <f t="shared" si="29"/>
        <v>8.2666666666666675</v>
      </c>
      <c r="G108" s="161">
        <f t="shared" si="29"/>
        <v>-30.97</v>
      </c>
      <c r="H108" s="162">
        <f t="shared" si="29"/>
        <v>-17</v>
      </c>
      <c r="I108" s="163">
        <f t="shared" si="29"/>
        <v>5.0771428571428574</v>
      </c>
      <c r="J108" s="162">
        <f t="shared" si="29"/>
        <v>0.64999999999999991</v>
      </c>
      <c r="K108" s="161">
        <f t="shared" si="29"/>
        <v>4.4799999999999995</v>
      </c>
      <c r="L108" s="162">
        <f t="shared" si="29"/>
        <v>0.75</v>
      </c>
      <c r="M108" s="163">
        <f t="shared" si="29"/>
        <v>-1.9966666666666668</v>
      </c>
      <c r="N108" s="162">
        <f t="shared" si="29"/>
        <v>-3.8333333333333335</v>
      </c>
      <c r="O108" s="161">
        <f t="shared" si="29"/>
        <v>4.668333333333333</v>
      </c>
      <c r="P108" s="162">
        <f t="shared" si="29"/>
        <v>1.95</v>
      </c>
      <c r="Q108" s="163">
        <f t="shared" si="29"/>
        <v>-19.237714285714283</v>
      </c>
      <c r="R108" s="162">
        <f t="shared" si="29"/>
        <v>-9.5833333333333339</v>
      </c>
      <c r="S108" s="161">
        <f t="shared" si="29"/>
        <v>100.33000000000001</v>
      </c>
      <c r="T108" s="162">
        <f t="shared" si="29"/>
        <v>9.3833333333333346</v>
      </c>
      <c r="U108" s="1"/>
      <c r="V108" s="1"/>
      <c r="W108" s="1"/>
      <c r="X108" s="1"/>
      <c r="Y108" s="1"/>
      <c r="Z108" s="1"/>
      <c r="AA108" s="1"/>
    </row>
    <row r="109" spans="1:27" ht="15" thickBot="1" x14ac:dyDescent="0.35">
      <c r="A109" s="1"/>
      <c r="B109" s="160" t="s">
        <v>124</v>
      </c>
      <c r="C109" s="662">
        <f>(C108-D108)/C108</f>
        <v>0.63800904977375572</v>
      </c>
      <c r="D109" s="663"/>
      <c r="E109" s="662">
        <f>(E108-F108)/E108</f>
        <v>0.50320086310264789</v>
      </c>
      <c r="F109" s="663"/>
      <c r="G109" s="662">
        <f>(G108-H108)/G108</f>
        <v>0.45108169195996123</v>
      </c>
      <c r="H109" s="663"/>
      <c r="I109" s="662">
        <f>(I108-J108)/I108</f>
        <v>0.87197523916713571</v>
      </c>
      <c r="J109" s="663"/>
      <c r="K109" s="662">
        <f>(K108-L108)/K108</f>
        <v>0.8325892857142857</v>
      </c>
      <c r="L109" s="663"/>
      <c r="M109" s="662">
        <f>(M108-N108)/M108</f>
        <v>-0.91986644407345575</v>
      </c>
      <c r="N109" s="663"/>
      <c r="O109" s="662">
        <f>(O108-P108)/O108</f>
        <v>0.58229203855765788</v>
      </c>
      <c r="P109" s="663"/>
      <c r="Q109" s="662">
        <f>(Q108-R108)/Q108</f>
        <v>0.50184657121923193</v>
      </c>
      <c r="R109" s="663"/>
      <c r="S109" s="662">
        <f>(S108-T108)/S108</f>
        <v>0.90647529818266381</v>
      </c>
      <c r="T109" s="663"/>
      <c r="U109" s="1"/>
      <c r="V109" s="1"/>
      <c r="W109" s="1"/>
      <c r="X109" s="1"/>
      <c r="Y109" s="1"/>
      <c r="Z109" s="1"/>
      <c r="AA109" s="1"/>
    </row>
    <row r="110" spans="1:27" x14ac:dyDescent="0.3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</row>
    <row r="111" spans="1:27" ht="15" thickBot="1" x14ac:dyDescent="0.35">
      <c r="A111" s="1"/>
      <c r="B111" s="664" t="s">
        <v>78</v>
      </c>
      <c r="C111" s="664"/>
      <c r="D111" s="664"/>
      <c r="E111" s="664"/>
      <c r="F111" s="664"/>
      <c r="G111" s="664"/>
      <c r="H111" s="664"/>
      <c r="I111" s="664"/>
      <c r="J111" s="664"/>
      <c r="K111" s="666" t="s">
        <v>79</v>
      </c>
      <c r="L111" s="666"/>
      <c r="M111" s="666"/>
      <c r="N111" s="666"/>
      <c r="O111" s="666"/>
      <c r="P111" s="666"/>
      <c r="Q111" s="666"/>
      <c r="R111" s="666"/>
      <c r="S111" s="1"/>
      <c r="T111" s="1"/>
      <c r="U111" s="1"/>
      <c r="V111" s="1"/>
      <c r="W111" s="1"/>
      <c r="X111" s="1"/>
      <c r="Y111" s="1"/>
      <c r="Z111" s="1"/>
      <c r="AA111" s="1"/>
    </row>
    <row r="112" spans="1:27" ht="15" thickBot="1" x14ac:dyDescent="0.35">
      <c r="A112" s="222" t="s">
        <v>218</v>
      </c>
      <c r="B112" s="92"/>
      <c r="C112" s="667" t="s">
        <v>213</v>
      </c>
      <c r="D112" s="667"/>
      <c r="E112" s="667" t="s">
        <v>134</v>
      </c>
      <c r="F112" s="667"/>
      <c r="G112" s="667" t="s">
        <v>135</v>
      </c>
      <c r="H112" s="667"/>
      <c r="I112" s="667" t="s">
        <v>136</v>
      </c>
      <c r="J112" s="668"/>
      <c r="K112" s="667" t="s">
        <v>137</v>
      </c>
      <c r="L112" s="667"/>
      <c r="M112" s="667" t="s">
        <v>138</v>
      </c>
      <c r="N112" s="667"/>
      <c r="O112" s="667" t="s">
        <v>139</v>
      </c>
      <c r="P112" s="667"/>
      <c r="Q112" s="667" t="s">
        <v>140</v>
      </c>
      <c r="R112" s="668"/>
      <c r="S112" s="1"/>
      <c r="T112" s="158" t="s">
        <v>133</v>
      </c>
      <c r="U112" s="158" t="s">
        <v>134</v>
      </c>
      <c r="V112" s="158" t="s">
        <v>135</v>
      </c>
      <c r="W112" s="158" t="s">
        <v>136</v>
      </c>
      <c r="X112" s="158" t="s">
        <v>137</v>
      </c>
      <c r="Y112" s="158" t="s">
        <v>138</v>
      </c>
      <c r="Z112" s="158" t="s">
        <v>139</v>
      </c>
      <c r="AA112" s="158" t="s">
        <v>140</v>
      </c>
    </row>
    <row r="113" spans="1:27" ht="15" thickBot="1" x14ac:dyDescent="0.35">
      <c r="A113" s="223" t="s">
        <v>238</v>
      </c>
      <c r="B113" s="44" t="s">
        <v>57</v>
      </c>
      <c r="C113" s="669"/>
      <c r="D113" s="669"/>
      <c r="E113" s="669"/>
      <c r="F113" s="669"/>
      <c r="G113" s="669">
        <f>C113-E113</f>
        <v>0</v>
      </c>
      <c r="H113" s="669"/>
      <c r="I113" s="669"/>
      <c r="J113" s="669"/>
      <c r="K113" s="669"/>
      <c r="L113" s="669"/>
      <c r="M113" s="670"/>
      <c r="N113" s="671"/>
      <c r="O113" s="670">
        <f>K113-M113</f>
        <v>0</v>
      </c>
      <c r="P113" s="671"/>
      <c r="Q113" s="669"/>
      <c r="R113" s="669"/>
      <c r="S113" s="1"/>
      <c r="T113" s="38">
        <f>C113</f>
        <v>0</v>
      </c>
      <c r="U113" s="38">
        <f>E113</f>
        <v>0</v>
      </c>
      <c r="V113" s="38">
        <f>G113</f>
        <v>0</v>
      </c>
      <c r="W113" s="38">
        <f>I113</f>
        <v>0</v>
      </c>
      <c r="X113" s="38">
        <f>K113</f>
        <v>0</v>
      </c>
      <c r="Y113" s="38">
        <f>M113</f>
        <v>0</v>
      </c>
      <c r="Z113" s="38">
        <f>O113</f>
        <v>0</v>
      </c>
      <c r="AA113" s="38">
        <f>Q113</f>
        <v>0</v>
      </c>
    </row>
    <row r="114" spans="1:27" ht="15" thickBot="1" x14ac:dyDescent="0.35">
      <c r="A114" s="223">
        <v>0</v>
      </c>
      <c r="B114" s="45" t="s">
        <v>58</v>
      </c>
      <c r="C114" s="678"/>
      <c r="D114" s="678"/>
      <c r="E114" s="678"/>
      <c r="F114" s="678"/>
      <c r="G114" s="678">
        <f>C114-E114</f>
        <v>0</v>
      </c>
      <c r="H114" s="678"/>
      <c r="I114" s="678"/>
      <c r="J114" s="678"/>
      <c r="K114" s="670">
        <v>0.2671</v>
      </c>
      <c r="L114" s="671"/>
      <c r="M114" s="670">
        <v>0.26400000000000001</v>
      </c>
      <c r="N114" s="671"/>
      <c r="O114" s="670">
        <v>3.0999999999999999E-3</v>
      </c>
      <c r="P114" s="671"/>
      <c r="Q114" s="670">
        <v>8.0000000000000004E-4</v>
      </c>
      <c r="R114" s="671"/>
      <c r="S114" s="1"/>
      <c r="T114" s="38">
        <f>C114</f>
        <v>0</v>
      </c>
      <c r="U114" s="38">
        <f>E114</f>
        <v>0</v>
      </c>
      <c r="V114" s="38">
        <f>G114</f>
        <v>0</v>
      </c>
      <c r="W114" s="38">
        <f>I114</f>
        <v>0</v>
      </c>
      <c r="X114" s="38">
        <f>K114</f>
        <v>0.2671</v>
      </c>
      <c r="Y114" s="38">
        <f>M114</f>
        <v>0.26400000000000001</v>
      </c>
      <c r="Z114" s="38">
        <f>O114</f>
        <v>3.0999999999999999E-3</v>
      </c>
      <c r="AA114" s="38">
        <f>Q114</f>
        <v>8.0000000000000004E-4</v>
      </c>
    </row>
    <row r="115" spans="1:27" x14ac:dyDescent="0.3">
      <c r="A115" s="223"/>
      <c r="B115" s="80" t="s">
        <v>84</v>
      </c>
      <c r="C115" s="672">
        <f>C114-C113</f>
        <v>0</v>
      </c>
      <c r="D115" s="672"/>
      <c r="E115" s="672">
        <f>E114-E113</f>
        <v>0</v>
      </c>
      <c r="F115" s="672"/>
      <c r="G115" s="672">
        <f>G114-G113</f>
        <v>0</v>
      </c>
      <c r="H115" s="672"/>
      <c r="I115" s="672">
        <f>I114-I113</f>
        <v>0</v>
      </c>
      <c r="J115" s="673"/>
      <c r="K115" s="674">
        <v>0.2671</v>
      </c>
      <c r="L115" s="675"/>
      <c r="M115" s="676">
        <v>0.26400000000000001</v>
      </c>
      <c r="N115" s="675"/>
      <c r="O115" s="676">
        <v>3.0999999999999999E-3</v>
      </c>
      <c r="P115" s="675"/>
      <c r="Q115" s="676">
        <v>8.0000000000000004E-4</v>
      </c>
      <c r="R115" s="677"/>
      <c r="S115" s="1"/>
      <c r="T115" s="38">
        <f>C117</f>
        <v>0</v>
      </c>
      <c r="U115" s="38">
        <f>E117</f>
        <v>0</v>
      </c>
      <c r="V115" s="38">
        <f>G117</f>
        <v>0</v>
      </c>
      <c r="W115" s="38">
        <f>I117</f>
        <v>0</v>
      </c>
      <c r="X115" s="38">
        <f>K117</f>
        <v>0.27589999999999998</v>
      </c>
      <c r="Y115" s="38">
        <f>M117</f>
        <v>0.26989999999999997</v>
      </c>
      <c r="Z115" s="38">
        <f>O117</f>
        <v>-6.0000000000000001E-3</v>
      </c>
      <c r="AA115" s="38">
        <f>Q117</f>
        <v>-2.8999999999999998E-3</v>
      </c>
    </row>
    <row r="116" spans="1:27" ht="15" thickBot="1" x14ac:dyDescent="0.35">
      <c r="A116" s="1"/>
      <c r="B116" s="83" t="s">
        <v>86</v>
      </c>
      <c r="C116" s="682" t="e">
        <f>C115/C113</f>
        <v>#DIV/0!</v>
      </c>
      <c r="D116" s="682"/>
      <c r="E116" s="682" t="e">
        <f>E115/E113</f>
        <v>#DIV/0!</v>
      </c>
      <c r="F116" s="682"/>
      <c r="G116" s="682" t="e">
        <f>G115/G113</f>
        <v>#DIV/0!</v>
      </c>
      <c r="H116" s="682"/>
      <c r="I116" s="682" t="e">
        <f>I115/I113</f>
        <v>#DIV/0!</v>
      </c>
      <c r="J116" s="683"/>
      <c r="K116" s="684" t="e">
        <v>#DIV/0!</v>
      </c>
      <c r="L116" s="680"/>
      <c r="M116" s="679" t="e">
        <v>#DIV/0!</v>
      </c>
      <c r="N116" s="680"/>
      <c r="O116" s="679" t="e">
        <v>#DIV/0!</v>
      </c>
      <c r="P116" s="680"/>
      <c r="Q116" s="679" t="e">
        <v>#DIV/0!</v>
      </c>
      <c r="R116" s="681"/>
      <c r="S116" s="1"/>
      <c r="T116" s="38">
        <f>C120</f>
        <v>0</v>
      </c>
      <c r="U116" s="38">
        <f>E120</f>
        <v>0</v>
      </c>
      <c r="V116" s="38">
        <f>G120</f>
        <v>0</v>
      </c>
      <c r="W116" s="38">
        <f>I120</f>
        <v>0</v>
      </c>
      <c r="X116" s="38">
        <f>K120</f>
        <v>0.27079999999999999</v>
      </c>
      <c r="Y116" s="38">
        <f>M120</f>
        <v>0.26540000000000002</v>
      </c>
      <c r="Z116" s="38">
        <f>O120</f>
        <v>-5.4000000000000003E-3</v>
      </c>
      <c r="AA116" s="38">
        <f>Q120</f>
        <v>-5.0000000000000001E-4</v>
      </c>
    </row>
    <row r="117" spans="1:27" ht="15" thickBot="1" x14ac:dyDescent="0.35">
      <c r="A117" s="1"/>
      <c r="B117" s="45" t="s">
        <v>59</v>
      </c>
      <c r="C117" s="678"/>
      <c r="D117" s="678"/>
      <c r="E117" s="678"/>
      <c r="F117" s="678"/>
      <c r="G117" s="678">
        <f>C117-E117</f>
        <v>0</v>
      </c>
      <c r="H117" s="678"/>
      <c r="I117" s="678"/>
      <c r="J117" s="678"/>
      <c r="K117" s="670">
        <v>0.27589999999999998</v>
      </c>
      <c r="L117" s="671"/>
      <c r="M117" s="670">
        <v>0.26989999999999997</v>
      </c>
      <c r="N117" s="671"/>
      <c r="O117" s="670">
        <v>-6.0000000000000001E-3</v>
      </c>
      <c r="P117" s="671"/>
      <c r="Q117" s="670">
        <v>-2.8999999999999998E-3</v>
      </c>
      <c r="R117" s="671"/>
      <c r="S117" s="1"/>
      <c r="T117" s="38">
        <f>E123</f>
        <v>0</v>
      </c>
      <c r="U117" s="38">
        <f>E123</f>
        <v>0</v>
      </c>
      <c r="V117" s="38">
        <f>G123</f>
        <v>0</v>
      </c>
      <c r="W117" s="38">
        <f>I123</f>
        <v>0</v>
      </c>
      <c r="X117" s="38">
        <f>K123</f>
        <v>0.27750000000000002</v>
      </c>
      <c r="Y117" s="38">
        <f>M123</f>
        <v>0.27539999999999998</v>
      </c>
      <c r="Z117" s="38">
        <f>O123</f>
        <v>2.0999999999999999E-3</v>
      </c>
      <c r="AA117" s="38">
        <f>Q12</f>
        <v>0</v>
      </c>
    </row>
    <row r="118" spans="1:27" x14ac:dyDescent="0.3">
      <c r="A118" s="1"/>
      <c r="B118" s="80" t="s">
        <v>84</v>
      </c>
      <c r="C118" s="672">
        <f>C117-C114</f>
        <v>0</v>
      </c>
      <c r="D118" s="672"/>
      <c r="E118" s="688">
        <f>E117-E114</f>
        <v>0</v>
      </c>
      <c r="F118" s="688"/>
      <c r="G118" s="688">
        <f>G117-G114</f>
        <v>0</v>
      </c>
      <c r="H118" s="688"/>
      <c r="I118" s="688">
        <f>I117-I114</f>
        <v>0</v>
      </c>
      <c r="J118" s="689"/>
      <c r="K118" s="674">
        <v>8.8000000000000005E-3</v>
      </c>
      <c r="L118" s="675"/>
      <c r="M118" s="685">
        <v>5.8999999999999999E-3</v>
      </c>
      <c r="N118" s="686"/>
      <c r="O118" s="685">
        <v>-9.1000000000000004E-3</v>
      </c>
      <c r="P118" s="686"/>
      <c r="Q118" s="685">
        <v>-3.7000000000000002E-3</v>
      </c>
      <c r="R118" s="687"/>
      <c r="S118" s="1"/>
      <c r="T118" s="38">
        <f>C126</f>
        <v>0</v>
      </c>
      <c r="U118" s="38">
        <f>E126</f>
        <v>0</v>
      </c>
      <c r="V118" s="38">
        <f>G126</f>
        <v>0</v>
      </c>
      <c r="W118" s="38">
        <f>I126</f>
        <v>0</v>
      </c>
      <c r="X118" s="38">
        <f>K126</f>
        <v>0.28179999999999999</v>
      </c>
      <c r="Y118" s="38">
        <f>M126</f>
        <v>0.24099999999999999</v>
      </c>
      <c r="Z118" s="38">
        <f>O126</f>
        <v>4.0800000000000003E-2</v>
      </c>
      <c r="AA118" s="38">
        <f>Q126</f>
        <v>-5.4999999999999997E-3</v>
      </c>
    </row>
    <row r="119" spans="1:27" ht="15" thickBot="1" x14ac:dyDescent="0.35">
      <c r="A119" s="1"/>
      <c r="B119" s="83" t="s">
        <v>86</v>
      </c>
      <c r="C119" s="682" t="e">
        <f>C118/C114</f>
        <v>#DIV/0!</v>
      </c>
      <c r="D119" s="682"/>
      <c r="E119" s="682" t="e">
        <f>E118/E114</f>
        <v>#DIV/0!</v>
      </c>
      <c r="F119" s="682"/>
      <c r="G119" s="682" t="e">
        <f>G118/G114</f>
        <v>#DIV/0!</v>
      </c>
      <c r="H119" s="682"/>
      <c r="I119" s="682" t="e">
        <f>I118/I114</f>
        <v>#DIV/0!</v>
      </c>
      <c r="J119" s="683"/>
      <c r="K119" s="684">
        <v>3.2899999999999999E-2</v>
      </c>
      <c r="L119" s="680"/>
      <c r="M119" s="679">
        <v>2.23E-2</v>
      </c>
      <c r="N119" s="680"/>
      <c r="O119" s="679">
        <v>-2.9355000000000002</v>
      </c>
      <c r="P119" s="680"/>
      <c r="Q119" s="679">
        <v>-4.625</v>
      </c>
      <c r="R119" s="681"/>
      <c r="S119" s="1"/>
      <c r="T119" s="38">
        <f>C129</f>
        <v>0</v>
      </c>
      <c r="U119" s="38">
        <f>E129</f>
        <v>0</v>
      </c>
      <c r="V119" s="38">
        <f>G129</f>
        <v>0</v>
      </c>
      <c r="W119" s="38">
        <f>I129</f>
        <v>0</v>
      </c>
      <c r="X119" s="38">
        <f>K129</f>
        <v>0.27400000000000002</v>
      </c>
      <c r="Y119" s="38">
        <f>M129</f>
        <v>0.27700000000000002</v>
      </c>
      <c r="Z119" s="38">
        <f>O129</f>
        <v>-4.7000000000000002E-3</v>
      </c>
      <c r="AA119" s="38">
        <f>Q129</f>
        <v>1.8E-3</v>
      </c>
    </row>
    <row r="120" spans="1:27" ht="15" thickBot="1" x14ac:dyDescent="0.35">
      <c r="A120" s="1"/>
      <c r="B120" s="45" t="s">
        <v>2</v>
      </c>
      <c r="C120" s="678"/>
      <c r="D120" s="678"/>
      <c r="E120" s="678"/>
      <c r="F120" s="678"/>
      <c r="G120" s="678">
        <f>C120-E120</f>
        <v>0</v>
      </c>
      <c r="H120" s="678"/>
      <c r="I120" s="678"/>
      <c r="J120" s="678"/>
      <c r="K120" s="670">
        <v>0.27079999999999999</v>
      </c>
      <c r="L120" s="671"/>
      <c r="M120" s="670">
        <v>0.26540000000000002</v>
      </c>
      <c r="N120" s="671"/>
      <c r="O120" s="670">
        <v>-5.4000000000000003E-3</v>
      </c>
      <c r="P120" s="671"/>
      <c r="Q120" s="670">
        <v>-5.0000000000000001E-4</v>
      </c>
      <c r="R120" s="671"/>
      <c r="S120" s="1"/>
      <c r="T120" s="38">
        <f>C132</f>
        <v>0</v>
      </c>
      <c r="U120" s="38">
        <f>E132</f>
        <v>0</v>
      </c>
      <c r="V120" s="38">
        <f>G132</f>
        <v>0</v>
      </c>
      <c r="W120" s="38">
        <f>I132</f>
        <v>0</v>
      </c>
      <c r="X120" s="38">
        <f>K132</f>
        <v>0</v>
      </c>
      <c r="Y120" s="38">
        <f>M132</f>
        <v>0</v>
      </c>
      <c r="Z120" s="38">
        <f>O132</f>
        <v>0</v>
      </c>
      <c r="AA120" s="38">
        <f>Q132</f>
        <v>0</v>
      </c>
    </row>
    <row r="121" spans="1:27" x14ac:dyDescent="0.3">
      <c r="A121" s="1"/>
      <c r="B121" s="80" t="s">
        <v>84</v>
      </c>
      <c r="C121" s="672">
        <f>C120-C117</f>
        <v>0</v>
      </c>
      <c r="D121" s="672"/>
      <c r="E121" s="672">
        <f>E120-E117</f>
        <v>0</v>
      </c>
      <c r="F121" s="672"/>
      <c r="G121" s="672">
        <f>G120-G117</f>
        <v>0</v>
      </c>
      <c r="H121" s="672"/>
      <c r="I121" s="672">
        <f>I120-I117</f>
        <v>0</v>
      </c>
      <c r="J121" s="673"/>
      <c r="K121" s="674">
        <v>-5.1000000000000004E-3</v>
      </c>
      <c r="L121" s="675"/>
      <c r="M121" s="676">
        <v>-4.4999999999999997E-3</v>
      </c>
      <c r="N121" s="675"/>
      <c r="O121" s="676">
        <v>5.9999999999999995E-4</v>
      </c>
      <c r="P121" s="675"/>
      <c r="Q121" s="676">
        <v>2.3999999999999998E-3</v>
      </c>
      <c r="R121" s="677"/>
      <c r="S121" s="1"/>
      <c r="T121" s="38">
        <f>C135</f>
        <v>0</v>
      </c>
      <c r="U121" s="38">
        <f>E135</f>
        <v>0</v>
      </c>
      <c r="V121" s="38">
        <f>G135</f>
        <v>0</v>
      </c>
      <c r="W121" s="38">
        <f>I135</f>
        <v>0</v>
      </c>
      <c r="X121" s="38">
        <f>K135</f>
        <v>0</v>
      </c>
      <c r="Y121" s="38">
        <f>M135</f>
        <v>0</v>
      </c>
      <c r="Z121" s="38">
        <f>O135</f>
        <v>0</v>
      </c>
      <c r="AA121" s="38">
        <f>Q135</f>
        <v>0</v>
      </c>
    </row>
    <row r="122" spans="1:27" ht="15" thickBot="1" x14ac:dyDescent="0.35">
      <c r="A122" s="1"/>
      <c r="B122" s="83" t="s">
        <v>86</v>
      </c>
      <c r="C122" s="693" t="e">
        <f>C121/C117</f>
        <v>#DIV/0!</v>
      </c>
      <c r="D122" s="693"/>
      <c r="E122" s="693" t="e">
        <f>E121/E117</f>
        <v>#DIV/0!</v>
      </c>
      <c r="F122" s="693"/>
      <c r="G122" s="693" t="e">
        <f>G121/G117</f>
        <v>#DIV/0!</v>
      </c>
      <c r="H122" s="693"/>
      <c r="I122" s="693" t="e">
        <f>I121/I117</f>
        <v>#DIV/0!</v>
      </c>
      <c r="J122" s="694"/>
      <c r="K122" s="695">
        <v>-0.02</v>
      </c>
      <c r="L122" s="691"/>
      <c r="M122" s="690">
        <v>-0.02</v>
      </c>
      <c r="N122" s="691"/>
      <c r="O122" s="690">
        <v>-0.1</v>
      </c>
      <c r="P122" s="691"/>
      <c r="Q122" s="690">
        <v>-0.83</v>
      </c>
      <c r="R122" s="692"/>
      <c r="S122" s="1"/>
      <c r="T122" s="38">
        <f>C138</f>
        <v>0</v>
      </c>
      <c r="U122" s="38">
        <f>E138</f>
        <v>0</v>
      </c>
      <c r="V122" s="38">
        <f>G138</f>
        <v>0</v>
      </c>
      <c r="W122" s="38">
        <f>I138</f>
        <v>0</v>
      </c>
      <c r="X122" s="38">
        <f>K138</f>
        <v>0</v>
      </c>
      <c r="Y122" s="38">
        <f>M138</f>
        <v>0</v>
      </c>
      <c r="Z122" s="38">
        <f>O138</f>
        <v>0</v>
      </c>
      <c r="AA122" s="38">
        <f>Q138</f>
        <v>0</v>
      </c>
    </row>
    <row r="123" spans="1:27" ht="15" thickBot="1" x14ac:dyDescent="0.35">
      <c r="A123" s="1"/>
      <c r="B123" s="45" t="s">
        <v>60</v>
      </c>
      <c r="C123" s="696"/>
      <c r="D123" s="697"/>
      <c r="E123" s="678"/>
      <c r="F123" s="678"/>
      <c r="G123" s="678">
        <f>C123-E123</f>
        <v>0</v>
      </c>
      <c r="H123" s="678"/>
      <c r="I123" s="678"/>
      <c r="J123" s="678"/>
      <c r="K123" s="670">
        <v>0.27750000000000002</v>
      </c>
      <c r="L123" s="671"/>
      <c r="M123" s="670">
        <v>0.27539999999999998</v>
      </c>
      <c r="N123" s="671"/>
      <c r="O123" s="670">
        <v>2.0999999999999999E-3</v>
      </c>
      <c r="P123" s="671"/>
      <c r="Q123" s="670">
        <v>-2.0999999999999999E-3</v>
      </c>
      <c r="R123" s="671"/>
      <c r="S123" s="1"/>
      <c r="T123" s="38">
        <f>E141</f>
        <v>0</v>
      </c>
      <c r="U123" s="38">
        <f>G141</f>
        <v>0</v>
      </c>
      <c r="V123" s="38">
        <f>G141</f>
        <v>0</v>
      </c>
      <c r="W123" s="38">
        <f>I141</f>
        <v>0</v>
      </c>
      <c r="X123" s="38">
        <f>K141</f>
        <v>0</v>
      </c>
      <c r="Y123" s="38">
        <f>M141</f>
        <v>0</v>
      </c>
      <c r="Z123" s="38">
        <f>O141</f>
        <v>0</v>
      </c>
      <c r="AA123" s="38">
        <f>Q141</f>
        <v>0</v>
      </c>
    </row>
    <row r="124" spans="1:27" x14ac:dyDescent="0.3">
      <c r="A124" s="1"/>
      <c r="B124" s="80" t="s">
        <v>84</v>
      </c>
      <c r="C124" s="698">
        <f>C123-C120</f>
        <v>0</v>
      </c>
      <c r="D124" s="698"/>
      <c r="E124" s="698">
        <f>E123-E120</f>
        <v>0</v>
      </c>
      <c r="F124" s="698"/>
      <c r="G124" s="698">
        <f>G123-G120</f>
        <v>0</v>
      </c>
      <c r="H124" s="698"/>
      <c r="I124" s="698">
        <f>I123-I120</f>
        <v>0</v>
      </c>
      <c r="J124" s="699"/>
      <c r="K124" s="700">
        <v>6.7000000000000002E-3</v>
      </c>
      <c r="L124" s="686"/>
      <c r="M124" s="685">
        <v>0.01</v>
      </c>
      <c r="N124" s="686"/>
      <c r="O124" s="685">
        <v>7.4999999999999997E-3</v>
      </c>
      <c r="P124" s="686"/>
      <c r="Q124" s="685">
        <v>-1.6000000000000001E-3</v>
      </c>
      <c r="R124" s="687"/>
      <c r="S124" s="1"/>
      <c r="T124" s="38">
        <f>C144</f>
        <v>0</v>
      </c>
      <c r="U124" s="38">
        <f>E144</f>
        <v>0</v>
      </c>
      <c r="V124" s="38">
        <f>G144</f>
        <v>0</v>
      </c>
      <c r="W124" s="38">
        <f>I144</f>
        <v>0</v>
      </c>
      <c r="X124" s="38">
        <f>K144</f>
        <v>0</v>
      </c>
      <c r="Y124" s="38">
        <f>M144</f>
        <v>0</v>
      </c>
      <c r="Z124" s="38">
        <f>O144</f>
        <v>0</v>
      </c>
      <c r="AA124" s="38">
        <f>Q144</f>
        <v>0</v>
      </c>
    </row>
    <row r="125" spans="1:27" ht="15" thickBot="1" x14ac:dyDescent="0.35">
      <c r="A125" s="1"/>
      <c r="B125" s="83" t="s">
        <v>86</v>
      </c>
      <c r="C125" s="693" t="e">
        <f>C124/C120</f>
        <v>#DIV/0!</v>
      </c>
      <c r="D125" s="693"/>
      <c r="E125" s="693" t="e">
        <f>E124/E120</f>
        <v>#DIV/0!</v>
      </c>
      <c r="F125" s="693"/>
      <c r="G125" s="693" t="e">
        <f>G124/G120</f>
        <v>#DIV/0!</v>
      </c>
      <c r="H125" s="693"/>
      <c r="I125" s="693" t="e">
        <f>I124/I120</f>
        <v>#DIV/0!</v>
      </c>
      <c r="J125" s="694"/>
      <c r="K125" s="695">
        <v>0.02</v>
      </c>
      <c r="L125" s="691"/>
      <c r="M125" s="690">
        <v>0.04</v>
      </c>
      <c r="N125" s="691"/>
      <c r="O125" s="690">
        <v>-1.39</v>
      </c>
      <c r="P125" s="691"/>
      <c r="Q125" s="690">
        <v>3.2</v>
      </c>
      <c r="R125" s="692"/>
      <c r="S125" s="1"/>
      <c r="T125" s="38"/>
      <c r="U125" s="38"/>
      <c r="V125" s="38"/>
      <c r="W125" s="38"/>
      <c r="X125" s="38"/>
      <c r="Y125" s="38"/>
      <c r="Z125" s="38"/>
      <c r="AA125" s="38"/>
    </row>
    <row r="126" spans="1:27" ht="15" thickBot="1" x14ac:dyDescent="0.35">
      <c r="A126" s="1"/>
      <c r="B126" s="45" t="s">
        <v>61</v>
      </c>
      <c r="C126" s="696"/>
      <c r="D126" s="697"/>
      <c r="E126" s="696"/>
      <c r="F126" s="697"/>
      <c r="G126" s="696">
        <f>C126-E126</f>
        <v>0</v>
      </c>
      <c r="H126" s="697"/>
      <c r="I126" s="696"/>
      <c r="J126" s="697"/>
      <c r="K126" s="701">
        <v>0.28179999999999999</v>
      </c>
      <c r="L126" s="702"/>
      <c r="M126" s="701">
        <v>0.24099999999999999</v>
      </c>
      <c r="N126" s="702"/>
      <c r="O126" s="701">
        <v>4.0800000000000003E-2</v>
      </c>
      <c r="P126" s="702"/>
      <c r="Q126" s="701">
        <v>-5.4999999999999997E-3</v>
      </c>
      <c r="R126" s="702"/>
      <c r="S126" s="1"/>
      <c r="T126" s="38"/>
      <c r="U126" s="38"/>
      <c r="V126" s="38"/>
      <c r="W126" s="38"/>
      <c r="X126" s="38"/>
      <c r="Y126" s="38"/>
      <c r="Z126" s="38"/>
      <c r="AA126" s="38"/>
    </row>
    <row r="127" spans="1:27" x14ac:dyDescent="0.3">
      <c r="A127" s="1"/>
      <c r="B127" s="80" t="s">
        <v>84</v>
      </c>
      <c r="C127" s="698">
        <f>C126-C123</f>
        <v>0</v>
      </c>
      <c r="D127" s="698"/>
      <c r="E127" s="698">
        <f>E126-E123</f>
        <v>0</v>
      </c>
      <c r="F127" s="698"/>
      <c r="G127" s="698">
        <f>G126-G123</f>
        <v>0</v>
      </c>
      <c r="H127" s="698"/>
      <c r="I127" s="698">
        <f>I126-I123</f>
        <v>0</v>
      </c>
      <c r="J127" s="699"/>
      <c r="K127" s="700">
        <v>4.3E-3</v>
      </c>
      <c r="L127" s="686"/>
      <c r="M127" s="685">
        <v>-3.44E-2</v>
      </c>
      <c r="N127" s="686"/>
      <c r="O127" s="685">
        <v>3.8699999999999998E-2</v>
      </c>
      <c r="P127" s="686"/>
      <c r="Q127" s="685">
        <v>-3.3999999999999998E-3</v>
      </c>
      <c r="R127" s="687"/>
      <c r="S127" s="1"/>
      <c r="T127" s="1"/>
      <c r="U127" s="1"/>
      <c r="V127" s="1"/>
      <c r="W127" s="1"/>
      <c r="X127" s="1"/>
      <c r="Y127" s="1"/>
      <c r="Z127" s="1"/>
      <c r="AA127" s="1"/>
    </row>
    <row r="128" spans="1:27" ht="15" thickBot="1" x14ac:dyDescent="0.35">
      <c r="A128" s="1"/>
      <c r="B128" s="83" t="s">
        <v>86</v>
      </c>
      <c r="C128" s="693" t="e">
        <f>C127/C123</f>
        <v>#DIV/0!</v>
      </c>
      <c r="D128" s="693"/>
      <c r="E128" s="693" t="e">
        <f>E127/E123</f>
        <v>#DIV/0!</v>
      </c>
      <c r="F128" s="693"/>
      <c r="G128" s="693" t="e">
        <f>G127/G123</f>
        <v>#DIV/0!</v>
      </c>
      <c r="H128" s="693"/>
      <c r="I128" s="693" t="e">
        <f>I127/I123</f>
        <v>#DIV/0!</v>
      </c>
      <c r="J128" s="694"/>
      <c r="K128" s="695">
        <v>0.02</v>
      </c>
      <c r="L128" s="691"/>
      <c r="M128" s="690">
        <v>-0.12</v>
      </c>
      <c r="N128" s="691"/>
      <c r="O128" s="690">
        <v>18.43</v>
      </c>
      <c r="P128" s="691"/>
      <c r="Q128" s="690">
        <v>1.62</v>
      </c>
      <c r="R128" s="692"/>
      <c r="S128" s="1"/>
      <c r="T128" s="1"/>
      <c r="U128" s="1"/>
      <c r="V128" s="1"/>
      <c r="W128" s="1"/>
      <c r="X128" s="1"/>
      <c r="Y128" s="1"/>
      <c r="Z128" s="1"/>
      <c r="AA128" s="1"/>
    </row>
    <row r="129" spans="1:18" ht="15" thickBot="1" x14ac:dyDescent="0.35">
      <c r="A129" s="1"/>
      <c r="B129" s="45" t="s">
        <v>62</v>
      </c>
      <c r="C129" s="678"/>
      <c r="D129" s="678"/>
      <c r="E129" s="678"/>
      <c r="F129" s="678"/>
      <c r="G129" s="678">
        <f>C129-E129</f>
        <v>0</v>
      </c>
      <c r="H129" s="678"/>
      <c r="I129" s="678"/>
      <c r="J129" s="678"/>
      <c r="K129" s="670">
        <v>0.27400000000000002</v>
      </c>
      <c r="L129" s="671"/>
      <c r="M129" s="670">
        <v>0.27700000000000002</v>
      </c>
      <c r="N129" s="671"/>
      <c r="O129" s="670">
        <v>-4.7000000000000002E-3</v>
      </c>
      <c r="P129" s="671"/>
      <c r="Q129" s="670">
        <v>1.8E-3</v>
      </c>
      <c r="R129" s="671"/>
    </row>
    <row r="130" spans="1:18" x14ac:dyDescent="0.3">
      <c r="A130" s="1"/>
      <c r="B130" s="80" t="s">
        <v>84</v>
      </c>
      <c r="C130" s="672">
        <f>C129-C126</f>
        <v>0</v>
      </c>
      <c r="D130" s="672"/>
      <c r="E130" s="672">
        <f>E129-E126</f>
        <v>0</v>
      </c>
      <c r="F130" s="672"/>
      <c r="G130" s="672">
        <f>G129-G126</f>
        <v>0</v>
      </c>
      <c r="H130" s="672"/>
      <c r="I130" s="672">
        <f>I129-I126</f>
        <v>0</v>
      </c>
      <c r="J130" s="673"/>
      <c r="K130" s="674">
        <v>-1.6899999999999998E-2</v>
      </c>
      <c r="L130" s="675"/>
      <c r="M130" s="676">
        <v>2.86E-2</v>
      </c>
      <c r="N130" s="675"/>
      <c r="O130" s="676">
        <v>-4.5499999999999999E-2</v>
      </c>
      <c r="P130" s="675"/>
      <c r="Q130" s="676">
        <v>7.3000000000000001E-3</v>
      </c>
      <c r="R130" s="677"/>
    </row>
    <row r="131" spans="1:18" ht="15" thickBot="1" x14ac:dyDescent="0.35">
      <c r="A131" s="1"/>
      <c r="B131" s="83" t="s">
        <v>86</v>
      </c>
      <c r="C131" s="682" t="e">
        <f>C130/C126</f>
        <v>#DIV/0!</v>
      </c>
      <c r="D131" s="682"/>
      <c r="E131" s="682" t="e">
        <f>E130/E126</f>
        <v>#DIV/0!</v>
      </c>
      <c r="F131" s="682"/>
      <c r="G131" s="682" t="e">
        <f>G130/G126</f>
        <v>#DIV/0!</v>
      </c>
      <c r="H131" s="682"/>
      <c r="I131" s="682" t="e">
        <f>I130/I126</f>
        <v>#DIV/0!</v>
      </c>
      <c r="J131" s="683"/>
      <c r="K131" s="684">
        <v>-0.06</v>
      </c>
      <c r="L131" s="680"/>
      <c r="M131" s="679">
        <v>0.1187</v>
      </c>
      <c r="N131" s="680"/>
      <c r="O131" s="679">
        <v>-1.1152</v>
      </c>
      <c r="P131" s="680"/>
      <c r="Q131" s="679">
        <v>-1.3272999999999999</v>
      </c>
      <c r="R131" s="681"/>
    </row>
    <row r="132" spans="1:18" ht="15" thickBot="1" x14ac:dyDescent="0.35">
      <c r="A132" s="1"/>
      <c r="B132" s="45" t="s">
        <v>63</v>
      </c>
      <c r="C132" s="708"/>
      <c r="D132" s="697"/>
      <c r="E132" s="696"/>
      <c r="F132" s="697"/>
      <c r="G132" s="696">
        <f>C132-E132</f>
        <v>0</v>
      </c>
      <c r="H132" s="697"/>
      <c r="I132" s="696"/>
      <c r="J132" s="697"/>
      <c r="K132" s="701"/>
      <c r="L132" s="702"/>
      <c r="M132" s="701"/>
      <c r="N132" s="702"/>
      <c r="O132" s="703">
        <f>K132-M132</f>
        <v>0</v>
      </c>
      <c r="P132" s="704"/>
      <c r="Q132" s="697"/>
      <c r="R132" s="697"/>
    </row>
    <row r="133" spans="1:18" x14ac:dyDescent="0.3">
      <c r="A133" s="1"/>
      <c r="B133" s="80" t="s">
        <v>84</v>
      </c>
      <c r="C133" s="698">
        <f>C132-C129</f>
        <v>0</v>
      </c>
      <c r="D133" s="698"/>
      <c r="E133" s="698">
        <f>E132-E129</f>
        <v>0</v>
      </c>
      <c r="F133" s="698"/>
      <c r="G133" s="698">
        <f>G132-G129</f>
        <v>0</v>
      </c>
      <c r="H133" s="698"/>
      <c r="I133" s="698">
        <f>I132-I129</f>
        <v>0</v>
      </c>
      <c r="J133" s="699"/>
      <c r="K133" s="634">
        <f>K132-K129</f>
        <v>-0.27400000000000002</v>
      </c>
      <c r="L133" s="705"/>
      <c r="M133" s="706">
        <f>M132-M129</f>
        <v>-0.27700000000000002</v>
      </c>
      <c r="N133" s="707"/>
      <c r="O133" s="698">
        <f>O132-O129</f>
        <v>4.7000000000000002E-3</v>
      </c>
      <c r="P133" s="698"/>
      <c r="Q133" s="698">
        <f>Q132-Q129</f>
        <v>-1.8E-3</v>
      </c>
      <c r="R133" s="699"/>
    </row>
    <row r="134" spans="1:18" ht="15" thickBot="1" x14ac:dyDescent="0.35">
      <c r="A134" s="1"/>
      <c r="B134" s="83" t="s">
        <v>86</v>
      </c>
      <c r="C134" s="693" t="e">
        <f>C133/C129</f>
        <v>#DIV/0!</v>
      </c>
      <c r="D134" s="693"/>
      <c r="E134" s="693" t="e">
        <f>E133/E129</f>
        <v>#DIV/0!</v>
      </c>
      <c r="F134" s="693"/>
      <c r="G134" s="693" t="e">
        <f>G133/G129</f>
        <v>#DIV/0!</v>
      </c>
      <c r="H134" s="693"/>
      <c r="I134" s="693" t="e">
        <f>I133/I129</f>
        <v>#DIV/0!</v>
      </c>
      <c r="J134" s="694"/>
      <c r="K134" s="695">
        <f>K133/K129</f>
        <v>-1</v>
      </c>
      <c r="L134" s="691"/>
      <c r="M134" s="710">
        <f>M133/M129</f>
        <v>-1</v>
      </c>
      <c r="N134" s="711"/>
      <c r="O134" s="693">
        <f>O133/O129</f>
        <v>-1</v>
      </c>
      <c r="P134" s="693"/>
      <c r="Q134" s="693">
        <f>Q133/Q129</f>
        <v>-1</v>
      </c>
      <c r="R134" s="694"/>
    </row>
    <row r="135" spans="1:18" ht="15" thickBot="1" x14ac:dyDescent="0.35">
      <c r="A135" s="1"/>
      <c r="B135" s="45" t="s">
        <v>64</v>
      </c>
      <c r="C135" s="708"/>
      <c r="D135" s="697"/>
      <c r="E135" s="696"/>
      <c r="F135" s="697"/>
      <c r="G135" s="696">
        <f>C135-E135</f>
        <v>0</v>
      </c>
      <c r="H135" s="697"/>
      <c r="I135" s="709"/>
      <c r="J135" s="697"/>
      <c r="K135" s="696"/>
      <c r="L135" s="697"/>
      <c r="M135" s="696"/>
      <c r="N135" s="697"/>
      <c r="O135" s="696">
        <f>K135-M135</f>
        <v>0</v>
      </c>
      <c r="P135" s="697"/>
      <c r="Q135" s="696"/>
      <c r="R135" s="697"/>
    </row>
    <row r="136" spans="1:18" x14ac:dyDescent="0.3">
      <c r="A136" s="1"/>
      <c r="B136" s="80" t="s">
        <v>84</v>
      </c>
      <c r="C136" s="698">
        <f>C135-C132</f>
        <v>0</v>
      </c>
      <c r="D136" s="698"/>
      <c r="E136" s="698">
        <f>E135-E132</f>
        <v>0</v>
      </c>
      <c r="F136" s="698"/>
      <c r="G136" s="698">
        <f>G135-G132</f>
        <v>0</v>
      </c>
      <c r="H136" s="698"/>
      <c r="I136" s="698">
        <f>I135-I132</f>
        <v>0</v>
      </c>
      <c r="J136" s="699"/>
      <c r="K136" s="698">
        <f>K135-K132</f>
        <v>0</v>
      </c>
      <c r="L136" s="698"/>
      <c r="M136" s="698">
        <f>M135-M132</f>
        <v>0</v>
      </c>
      <c r="N136" s="698"/>
      <c r="O136" s="698">
        <f>O135-O132</f>
        <v>0</v>
      </c>
      <c r="P136" s="698"/>
      <c r="Q136" s="698">
        <f>Q135-Q132</f>
        <v>0</v>
      </c>
      <c r="R136" s="699"/>
    </row>
    <row r="137" spans="1:18" ht="15" thickBot="1" x14ac:dyDescent="0.35">
      <c r="A137" s="1"/>
      <c r="B137" s="83" t="s">
        <v>86</v>
      </c>
      <c r="C137" s="693" t="e">
        <f>C136/C132</f>
        <v>#DIV/0!</v>
      </c>
      <c r="D137" s="693"/>
      <c r="E137" s="693" t="e">
        <f>E136/E132</f>
        <v>#DIV/0!</v>
      </c>
      <c r="F137" s="693"/>
      <c r="G137" s="693" t="e">
        <f>G136/G132</f>
        <v>#DIV/0!</v>
      </c>
      <c r="H137" s="693"/>
      <c r="I137" s="693" t="e">
        <f>I136/I132</f>
        <v>#DIV/0!</v>
      </c>
      <c r="J137" s="694"/>
      <c r="K137" s="693" t="e">
        <f>K136/K132</f>
        <v>#DIV/0!</v>
      </c>
      <c r="L137" s="693"/>
      <c r="M137" s="693" t="e">
        <f>M136/M132</f>
        <v>#DIV/0!</v>
      </c>
      <c r="N137" s="693"/>
      <c r="O137" s="693" t="e">
        <f>O136/O132</f>
        <v>#DIV/0!</v>
      </c>
      <c r="P137" s="693"/>
      <c r="Q137" s="693" t="e">
        <f>Q136/Q132</f>
        <v>#DIV/0!</v>
      </c>
      <c r="R137" s="694"/>
    </row>
    <row r="138" spans="1:18" ht="15" thickBot="1" x14ac:dyDescent="0.35">
      <c r="A138" s="1"/>
      <c r="B138" s="45" t="s">
        <v>65</v>
      </c>
      <c r="C138" s="696"/>
      <c r="D138" s="697"/>
      <c r="E138" s="697"/>
      <c r="F138" s="697"/>
      <c r="G138" s="696">
        <f>C138-E138</f>
        <v>0</v>
      </c>
      <c r="H138" s="697"/>
      <c r="I138" s="697"/>
      <c r="J138" s="697"/>
      <c r="K138" s="696"/>
      <c r="L138" s="697"/>
      <c r="M138" s="697"/>
      <c r="N138" s="697"/>
      <c r="O138" s="696">
        <f>K138-M138</f>
        <v>0</v>
      </c>
      <c r="P138" s="697"/>
      <c r="Q138" s="696"/>
      <c r="R138" s="697"/>
    </row>
    <row r="139" spans="1:18" x14ac:dyDescent="0.3">
      <c r="A139" s="1"/>
      <c r="B139" s="80" t="s">
        <v>84</v>
      </c>
      <c r="C139" s="698">
        <f>C138-C135</f>
        <v>0</v>
      </c>
      <c r="D139" s="698"/>
      <c r="E139" s="698">
        <f>E138-E135</f>
        <v>0</v>
      </c>
      <c r="F139" s="698"/>
      <c r="G139" s="698">
        <f>G138-G135</f>
        <v>0</v>
      </c>
      <c r="H139" s="698"/>
      <c r="I139" s="698">
        <f>I138-I135</f>
        <v>0</v>
      </c>
      <c r="J139" s="699"/>
      <c r="K139" s="698">
        <f>K138-K135</f>
        <v>0</v>
      </c>
      <c r="L139" s="698"/>
      <c r="M139" s="698">
        <f>M138-M135</f>
        <v>0</v>
      </c>
      <c r="N139" s="698"/>
      <c r="O139" s="698">
        <f>O138-O135</f>
        <v>0</v>
      </c>
      <c r="P139" s="698"/>
      <c r="Q139" s="698">
        <f>Q138-Q135</f>
        <v>0</v>
      </c>
      <c r="R139" s="699"/>
    </row>
    <row r="140" spans="1:18" ht="15" thickBot="1" x14ac:dyDescent="0.35">
      <c r="A140" s="1"/>
      <c r="B140" s="83" t="s">
        <v>86</v>
      </c>
      <c r="C140" s="693" t="e">
        <f>C139/C135</f>
        <v>#DIV/0!</v>
      </c>
      <c r="D140" s="693"/>
      <c r="E140" s="693" t="e">
        <f>E139/E135</f>
        <v>#DIV/0!</v>
      </c>
      <c r="F140" s="693"/>
      <c r="G140" s="693" t="e">
        <f>G139/G135</f>
        <v>#DIV/0!</v>
      </c>
      <c r="H140" s="693"/>
      <c r="I140" s="693" t="e">
        <f>I139/I135</f>
        <v>#DIV/0!</v>
      </c>
      <c r="J140" s="694"/>
      <c r="K140" s="693" t="e">
        <f>K139/K135</f>
        <v>#DIV/0!</v>
      </c>
      <c r="L140" s="693"/>
      <c r="M140" s="693" t="e">
        <f>M139/M135</f>
        <v>#DIV/0!</v>
      </c>
      <c r="N140" s="693"/>
      <c r="O140" s="693" t="e">
        <f>O139/O135</f>
        <v>#DIV/0!</v>
      </c>
      <c r="P140" s="693"/>
      <c r="Q140" s="693" t="e">
        <f>Q139/Q135</f>
        <v>#DIV/0!</v>
      </c>
      <c r="R140" s="694"/>
    </row>
    <row r="141" spans="1:18" ht="15" thickBot="1" x14ac:dyDescent="0.35">
      <c r="A141" s="1"/>
      <c r="B141" s="45" t="s">
        <v>66</v>
      </c>
      <c r="C141" s="708"/>
      <c r="D141" s="697"/>
      <c r="E141" s="697"/>
      <c r="F141" s="697"/>
      <c r="G141" s="696">
        <f>C141-E141</f>
        <v>0</v>
      </c>
      <c r="H141" s="697"/>
      <c r="I141" s="697"/>
      <c r="J141" s="697"/>
      <c r="K141" s="708"/>
      <c r="L141" s="697"/>
      <c r="M141" s="696"/>
      <c r="N141" s="697"/>
      <c r="O141" s="696">
        <f>K141-M141</f>
        <v>0</v>
      </c>
      <c r="P141" s="697"/>
      <c r="Q141" s="696"/>
      <c r="R141" s="697"/>
    </row>
    <row r="142" spans="1:18" x14ac:dyDescent="0.3">
      <c r="A142" s="1"/>
      <c r="B142" s="80" t="s">
        <v>84</v>
      </c>
      <c r="C142" s="698">
        <f>C141-C138</f>
        <v>0</v>
      </c>
      <c r="D142" s="698"/>
      <c r="E142" s="698">
        <f>E141-E138</f>
        <v>0</v>
      </c>
      <c r="F142" s="698"/>
      <c r="G142" s="698">
        <f>G141-G138</f>
        <v>0</v>
      </c>
      <c r="H142" s="698"/>
      <c r="I142" s="698">
        <f>I141-I138</f>
        <v>0</v>
      </c>
      <c r="J142" s="699"/>
      <c r="K142" s="698">
        <f>K141-K138</f>
        <v>0</v>
      </c>
      <c r="L142" s="698"/>
      <c r="M142" s="698">
        <f>M141-M138</f>
        <v>0</v>
      </c>
      <c r="N142" s="698"/>
      <c r="O142" s="698">
        <f>O141-O138</f>
        <v>0</v>
      </c>
      <c r="P142" s="698"/>
      <c r="Q142" s="698">
        <f>Q141-Q138</f>
        <v>0</v>
      </c>
      <c r="R142" s="699"/>
    </row>
    <row r="143" spans="1:18" ht="15" thickBot="1" x14ac:dyDescent="0.35">
      <c r="A143" s="1"/>
      <c r="B143" s="83" t="s">
        <v>86</v>
      </c>
      <c r="C143" s="693" t="e">
        <f>C142/C138</f>
        <v>#DIV/0!</v>
      </c>
      <c r="D143" s="693"/>
      <c r="E143" s="693" t="e">
        <f>E142/E138</f>
        <v>#DIV/0!</v>
      </c>
      <c r="F143" s="693"/>
      <c r="G143" s="693" t="e">
        <f>G142/G138</f>
        <v>#DIV/0!</v>
      </c>
      <c r="H143" s="693"/>
      <c r="I143" s="693" t="e">
        <f>I142/I138</f>
        <v>#DIV/0!</v>
      </c>
      <c r="J143" s="694"/>
      <c r="K143" s="693" t="e">
        <f>K142/K138</f>
        <v>#DIV/0!</v>
      </c>
      <c r="L143" s="693"/>
      <c r="M143" s="693" t="e">
        <f>M142/M138</f>
        <v>#DIV/0!</v>
      </c>
      <c r="N143" s="693"/>
      <c r="O143" s="693" t="e">
        <f>O142/O138</f>
        <v>#DIV/0!</v>
      </c>
      <c r="P143" s="693"/>
      <c r="Q143" s="693" t="e">
        <f>Q142/Q138</f>
        <v>#DIV/0!</v>
      </c>
      <c r="R143" s="694"/>
    </row>
    <row r="144" spans="1:18" ht="15" thickBot="1" x14ac:dyDescent="0.35">
      <c r="A144" s="1"/>
      <c r="B144" s="45" t="s">
        <v>67</v>
      </c>
      <c r="C144" s="697"/>
      <c r="D144" s="697"/>
      <c r="E144" s="697"/>
      <c r="F144" s="697"/>
      <c r="G144" s="696">
        <f>C144-E144</f>
        <v>0</v>
      </c>
      <c r="H144" s="697"/>
      <c r="I144" s="697"/>
      <c r="J144" s="697"/>
      <c r="K144" s="697"/>
      <c r="L144" s="697"/>
      <c r="M144" s="697"/>
      <c r="N144" s="697"/>
      <c r="O144" s="697">
        <f>K144-M144</f>
        <v>0</v>
      </c>
      <c r="P144" s="697"/>
      <c r="Q144" s="697"/>
      <c r="R144" s="697"/>
    </row>
    <row r="145" spans="1:18" x14ac:dyDescent="0.3">
      <c r="A145" s="1"/>
      <c r="B145" s="80" t="s">
        <v>84</v>
      </c>
      <c r="C145" s="698">
        <f>C144-C141</f>
        <v>0</v>
      </c>
      <c r="D145" s="698"/>
      <c r="E145" s="698">
        <f>E144-E141</f>
        <v>0</v>
      </c>
      <c r="F145" s="698"/>
      <c r="G145" s="698">
        <f>G144-G141</f>
        <v>0</v>
      </c>
      <c r="H145" s="698"/>
      <c r="I145" s="698">
        <f>I144-I141</f>
        <v>0</v>
      </c>
      <c r="J145" s="699"/>
      <c r="K145" s="698">
        <f>K144-K141</f>
        <v>0</v>
      </c>
      <c r="L145" s="698"/>
      <c r="M145" s="698">
        <f>M144-M141</f>
        <v>0</v>
      </c>
      <c r="N145" s="698"/>
      <c r="O145" s="698">
        <f>O144-O141</f>
        <v>0</v>
      </c>
      <c r="P145" s="698"/>
      <c r="Q145" s="698">
        <f>Q144-Q141</f>
        <v>0</v>
      </c>
      <c r="R145" s="699"/>
    </row>
    <row r="146" spans="1:18" ht="15" thickBot="1" x14ac:dyDescent="0.35">
      <c r="A146" s="1"/>
      <c r="B146" s="90" t="s">
        <v>86</v>
      </c>
      <c r="C146" s="712" t="e">
        <f>C145/C141</f>
        <v>#DIV/0!</v>
      </c>
      <c r="D146" s="712"/>
      <c r="E146" s="712" t="e">
        <f>E145/E141</f>
        <v>#DIV/0!</v>
      </c>
      <c r="F146" s="712"/>
      <c r="G146" s="712" t="e">
        <f>G145/G141</f>
        <v>#DIV/0!</v>
      </c>
      <c r="H146" s="712"/>
      <c r="I146" s="712" t="e">
        <f>I145/I141</f>
        <v>#DIV/0!</v>
      </c>
      <c r="J146" s="713"/>
      <c r="K146" s="712" t="e">
        <f>K145/K141</f>
        <v>#DIV/0!</v>
      </c>
      <c r="L146" s="712"/>
      <c r="M146" s="712" t="e">
        <f>M145/M141</f>
        <v>#DIV/0!</v>
      </c>
      <c r="N146" s="712"/>
      <c r="O146" s="712" t="e">
        <f>O145/O141</f>
        <v>#DIV/0!</v>
      </c>
      <c r="P146" s="712"/>
      <c r="Q146" s="712" t="e">
        <f>Q145/Q141</f>
        <v>#DIV/0!</v>
      </c>
      <c r="R146" s="713"/>
    </row>
    <row r="147" spans="1:18" x14ac:dyDescent="0.3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</row>
    <row r="148" spans="1:18" x14ac:dyDescent="0.3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</row>
    <row r="149" spans="1:18" ht="21" x14ac:dyDescent="0.4">
      <c r="A149" s="1"/>
      <c r="B149" s="652" t="s">
        <v>141</v>
      </c>
      <c r="C149" s="652"/>
      <c r="D149" s="652"/>
      <c r="E149" s="652"/>
      <c r="F149" s="652"/>
      <c r="G149" s="652"/>
      <c r="H149" s="652"/>
      <c r="I149" s="652"/>
      <c r="J149" s="652"/>
      <c r="K149" s="652"/>
      <c r="L149" s="652"/>
      <c r="M149" s="652"/>
      <c r="N149" s="652"/>
      <c r="O149" s="652"/>
      <c r="P149" s="1"/>
      <c r="Q149" s="1"/>
      <c r="R149" s="1"/>
    </row>
    <row r="150" spans="1:18" x14ac:dyDescent="0.3">
      <c r="A150" s="222" t="s">
        <v>218</v>
      </c>
      <c r="B150" s="208"/>
      <c r="C150" s="2" t="s">
        <v>57</v>
      </c>
      <c r="D150" s="2" t="s">
        <v>58</v>
      </c>
      <c r="E150" s="2" t="s">
        <v>59</v>
      </c>
      <c r="F150" s="2" t="s">
        <v>2</v>
      </c>
      <c r="G150" s="2" t="s">
        <v>60</v>
      </c>
      <c r="H150" s="2" t="s">
        <v>61</v>
      </c>
      <c r="I150" s="2" t="s">
        <v>62</v>
      </c>
      <c r="J150" s="2" t="s">
        <v>63</v>
      </c>
      <c r="K150" s="2" t="s">
        <v>64</v>
      </c>
      <c r="L150" s="2" t="s">
        <v>65</v>
      </c>
      <c r="M150" s="2" t="s">
        <v>66</v>
      </c>
      <c r="N150" s="2" t="s">
        <v>67</v>
      </c>
      <c r="O150" s="2" t="s">
        <v>14</v>
      </c>
      <c r="P150" s="1"/>
      <c r="Q150" s="1"/>
      <c r="R150" s="1"/>
    </row>
    <row r="151" spans="1:18" x14ac:dyDescent="0.3">
      <c r="A151" s="223">
        <v>0.92</v>
      </c>
      <c r="B151" s="3" t="s">
        <v>142</v>
      </c>
      <c r="C151" s="77"/>
      <c r="D151" s="77"/>
      <c r="E151" s="77"/>
      <c r="F151" s="77"/>
      <c r="G151" s="77"/>
      <c r="H151" s="77"/>
      <c r="I151" s="77"/>
      <c r="J151" s="77"/>
      <c r="K151" s="77"/>
      <c r="L151" s="77"/>
      <c r="M151" s="77"/>
      <c r="N151" s="77"/>
      <c r="O151" s="76" t="e">
        <f>AVERAGE(C151:N151)</f>
        <v>#DIV/0!</v>
      </c>
      <c r="P151" s="1"/>
      <c r="Q151" s="1"/>
      <c r="R151" s="1"/>
    </row>
    <row r="152" spans="1:18" x14ac:dyDescent="0.3">
      <c r="A152" s="223">
        <v>0.92</v>
      </c>
      <c r="B152" s="3" t="s">
        <v>237</v>
      </c>
      <c r="C152" s="77"/>
      <c r="D152" s="77"/>
      <c r="E152" s="77"/>
      <c r="F152" s="77"/>
      <c r="G152" s="77"/>
      <c r="H152" s="77"/>
      <c r="I152" s="77"/>
      <c r="J152" s="77"/>
      <c r="K152" s="77"/>
      <c r="L152" s="77"/>
      <c r="M152" s="77"/>
      <c r="N152" s="77"/>
      <c r="O152" s="76" t="e">
        <f>AVERAGE(C152:N152)</f>
        <v>#DIV/0!</v>
      </c>
      <c r="P152" s="1"/>
      <c r="Q152" s="1"/>
      <c r="R152" s="1"/>
    </row>
    <row r="153" spans="1:18" x14ac:dyDescent="0.3">
      <c r="A153" s="223">
        <v>1</v>
      </c>
      <c r="B153" s="3" t="s">
        <v>143</v>
      </c>
      <c r="C153" s="77"/>
      <c r="D153" s="77"/>
      <c r="E153" s="77"/>
      <c r="F153" s="77"/>
      <c r="G153" s="77"/>
      <c r="H153" s="77"/>
      <c r="I153" s="77"/>
      <c r="J153" s="77"/>
      <c r="K153" s="77"/>
      <c r="L153" s="77"/>
      <c r="M153" s="77"/>
      <c r="N153" s="77"/>
      <c r="O153" s="76" t="e">
        <f>AVERAGE(C153:N153)</f>
        <v>#DIV/0!</v>
      </c>
      <c r="P153" s="1"/>
      <c r="Q153" s="1"/>
      <c r="R153" s="1"/>
    </row>
    <row r="154" spans="1:18" ht="15" thickBot="1" x14ac:dyDescent="0.35">
      <c r="A154" s="223">
        <v>0.92</v>
      </c>
      <c r="B154" s="72" t="s">
        <v>144</v>
      </c>
      <c r="C154" s="93" t="e">
        <f>AVERAGE(C151:C153)</f>
        <v>#DIV/0!</v>
      </c>
      <c r="D154" s="93" t="e">
        <f t="shared" ref="D154:N154" si="30">AVERAGE(D151:D153)</f>
        <v>#DIV/0!</v>
      </c>
      <c r="E154" s="93" t="e">
        <f t="shared" si="30"/>
        <v>#DIV/0!</v>
      </c>
      <c r="F154" s="93" t="e">
        <f t="shared" si="30"/>
        <v>#DIV/0!</v>
      </c>
      <c r="G154" s="93" t="e">
        <f t="shared" si="30"/>
        <v>#DIV/0!</v>
      </c>
      <c r="H154" s="93" t="e">
        <f t="shared" si="30"/>
        <v>#DIV/0!</v>
      </c>
      <c r="I154" s="93" t="e">
        <f t="shared" si="30"/>
        <v>#DIV/0!</v>
      </c>
      <c r="J154" s="93" t="e">
        <f t="shared" si="30"/>
        <v>#DIV/0!</v>
      </c>
      <c r="K154" s="93" t="e">
        <f t="shared" si="30"/>
        <v>#DIV/0!</v>
      </c>
      <c r="L154" s="93" t="e">
        <f t="shared" si="30"/>
        <v>#DIV/0!</v>
      </c>
      <c r="M154" s="93" t="e">
        <f t="shared" si="30"/>
        <v>#DIV/0!</v>
      </c>
      <c r="N154" s="93" t="e">
        <f t="shared" si="30"/>
        <v>#DIV/0!</v>
      </c>
      <c r="O154" s="93" t="e">
        <f>AVERAGE(C151:N153)</f>
        <v>#DIV/0!</v>
      </c>
      <c r="P154" s="1"/>
      <c r="Q154" s="1"/>
      <c r="R154" s="1"/>
    </row>
    <row r="155" spans="1:18" x14ac:dyDescent="0.3">
      <c r="A155" s="1"/>
      <c r="B155" s="73" t="s">
        <v>145</v>
      </c>
      <c r="C155" s="75"/>
      <c r="D155" s="75"/>
      <c r="E155" s="75"/>
      <c r="F155" s="75"/>
      <c r="G155" s="75"/>
      <c r="H155" s="75"/>
      <c r="I155" s="75"/>
      <c r="J155" s="75"/>
      <c r="K155" s="75"/>
      <c r="L155" s="75"/>
      <c r="M155" s="75"/>
      <c r="N155" s="75"/>
      <c r="O155" s="74" t="e">
        <f>AVERAGE(C155:N155)</f>
        <v>#DIV/0!</v>
      </c>
      <c r="P155" s="1"/>
      <c r="Q155" s="1"/>
      <c r="R155" s="1"/>
    </row>
    <row r="156" spans="1:18" x14ac:dyDescent="0.3">
      <c r="A156" s="1"/>
      <c r="B156" s="3" t="s">
        <v>237</v>
      </c>
      <c r="C156" s="77"/>
      <c r="D156" s="77"/>
      <c r="E156" s="77"/>
      <c r="F156" s="77"/>
      <c r="G156" s="77"/>
      <c r="H156" s="77"/>
      <c r="I156" s="77"/>
      <c r="J156" s="77"/>
      <c r="K156" s="77"/>
      <c r="L156" s="77"/>
      <c r="M156" s="77"/>
      <c r="N156" s="77"/>
      <c r="O156" s="76" t="e">
        <f>AVERAGE(C156:N156)</f>
        <v>#DIV/0!</v>
      </c>
      <c r="P156" s="1"/>
      <c r="Q156" s="1"/>
      <c r="R156" s="1"/>
    </row>
    <row r="157" spans="1:18" x14ac:dyDescent="0.3">
      <c r="A157" s="1"/>
      <c r="B157" s="3" t="s">
        <v>146</v>
      </c>
      <c r="C157" s="77"/>
      <c r="D157" s="77"/>
      <c r="E157" s="77"/>
      <c r="F157" s="77"/>
      <c r="G157" s="77"/>
      <c r="H157" s="77"/>
      <c r="I157" s="77"/>
      <c r="J157" s="77"/>
      <c r="K157" s="77"/>
      <c r="L157" s="77"/>
      <c r="M157" s="77"/>
      <c r="N157" s="77"/>
      <c r="O157" s="76" t="e">
        <f>AVERAGE(C157:N157)</f>
        <v>#DIV/0!</v>
      </c>
      <c r="P157" s="1"/>
      <c r="Q157" s="1"/>
      <c r="R157" s="1"/>
    </row>
    <row r="158" spans="1:18" ht="24" customHeight="1" x14ac:dyDescent="0.3">
      <c r="A158" s="1"/>
      <c r="B158" s="3" t="s">
        <v>147</v>
      </c>
      <c r="C158" s="76" t="e">
        <f>AVERAGE(C155:C157)</f>
        <v>#DIV/0!</v>
      </c>
      <c r="D158" s="76" t="e">
        <f t="shared" ref="D158:N158" si="31">AVERAGE(D155:D157)</f>
        <v>#DIV/0!</v>
      </c>
      <c r="E158" s="76" t="e">
        <f t="shared" si="31"/>
        <v>#DIV/0!</v>
      </c>
      <c r="F158" s="76" t="e">
        <f t="shared" si="31"/>
        <v>#DIV/0!</v>
      </c>
      <c r="G158" s="76" t="e">
        <f t="shared" si="31"/>
        <v>#DIV/0!</v>
      </c>
      <c r="H158" s="76" t="e">
        <f t="shared" si="31"/>
        <v>#DIV/0!</v>
      </c>
      <c r="I158" s="76" t="e">
        <f t="shared" si="31"/>
        <v>#DIV/0!</v>
      </c>
      <c r="J158" s="76" t="e">
        <f t="shared" si="31"/>
        <v>#DIV/0!</v>
      </c>
      <c r="K158" s="76" t="e">
        <f t="shared" si="31"/>
        <v>#DIV/0!</v>
      </c>
      <c r="L158" s="76" t="e">
        <f t="shared" si="31"/>
        <v>#DIV/0!</v>
      </c>
      <c r="M158" s="76" t="e">
        <f t="shared" si="31"/>
        <v>#DIV/0!</v>
      </c>
      <c r="N158" s="76" t="e">
        <f t="shared" si="31"/>
        <v>#DIV/0!</v>
      </c>
      <c r="O158" s="76" t="e">
        <f>AVERAGE(C155:N157)</f>
        <v>#DIV/0!</v>
      </c>
      <c r="P158" s="1"/>
      <c r="Q158" s="1"/>
      <c r="R158" s="1"/>
    </row>
    <row r="159" spans="1:18" ht="24" customHeight="1" x14ac:dyDescent="0.3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</row>
    <row r="160" spans="1:18" ht="24" customHeight="1" x14ac:dyDescent="0.3">
      <c r="A160" s="1"/>
      <c r="B160" s="714" t="s">
        <v>148</v>
      </c>
      <c r="C160" s="714"/>
      <c r="D160" s="714"/>
      <c r="E160" s="714"/>
      <c r="F160" s="714"/>
      <c r="G160" s="714"/>
      <c r="H160" s="714"/>
      <c r="I160" s="714"/>
      <c r="J160" s="714"/>
      <c r="K160" s="714"/>
      <c r="L160" s="714"/>
      <c r="M160" s="714"/>
      <c r="N160" s="714"/>
      <c r="O160" s="714"/>
      <c r="P160" s="1"/>
      <c r="Q160" s="1"/>
      <c r="R160" s="1"/>
    </row>
    <row r="161" spans="2:15" ht="24" customHeight="1" x14ac:dyDescent="0.3">
      <c r="B161" s="715" t="s">
        <v>149</v>
      </c>
      <c r="C161" s="715"/>
      <c r="D161" s="715"/>
      <c r="E161" s="715"/>
      <c r="F161" s="715" t="s">
        <v>150</v>
      </c>
      <c r="G161" s="715"/>
      <c r="H161" s="715"/>
      <c r="I161" s="193" t="s">
        <v>151</v>
      </c>
      <c r="J161" s="715" t="s">
        <v>152</v>
      </c>
      <c r="K161" s="715"/>
      <c r="L161" s="715"/>
      <c r="M161" s="715"/>
      <c r="N161" s="715" t="s">
        <v>153</v>
      </c>
      <c r="O161" s="715"/>
    </row>
    <row r="162" spans="2:15" ht="29.25" customHeight="1" x14ac:dyDescent="0.3">
      <c r="B162" s="723"/>
      <c r="C162" s="724"/>
      <c r="D162" s="724"/>
      <c r="E162" s="725"/>
      <c r="F162" s="720"/>
      <c r="G162" s="721"/>
      <c r="H162" s="722"/>
      <c r="I162" s="96"/>
      <c r="J162" s="717"/>
      <c r="K162" s="717"/>
      <c r="L162" s="717"/>
      <c r="M162" s="717"/>
      <c r="N162" s="718"/>
      <c r="O162" s="718"/>
    </row>
    <row r="163" spans="2:15" ht="30" customHeight="1" x14ac:dyDescent="0.3">
      <c r="B163" s="723"/>
      <c r="C163" s="724"/>
      <c r="D163" s="724"/>
      <c r="E163" s="725"/>
      <c r="F163" s="720"/>
      <c r="G163" s="721"/>
      <c r="H163" s="722"/>
      <c r="I163" s="96"/>
      <c r="J163" s="717"/>
      <c r="K163" s="717"/>
      <c r="L163" s="717"/>
      <c r="M163" s="717"/>
      <c r="N163" s="718"/>
      <c r="O163" s="718"/>
    </row>
    <row r="164" spans="2:15" ht="30" customHeight="1" x14ac:dyDescent="0.3">
      <c r="B164" s="716"/>
      <c r="C164" s="716"/>
      <c r="D164" s="716"/>
      <c r="E164" s="716"/>
      <c r="F164" s="717"/>
      <c r="G164" s="717"/>
      <c r="H164" s="717"/>
      <c r="I164" s="96"/>
      <c r="J164" s="717"/>
      <c r="K164" s="717"/>
      <c r="L164" s="717"/>
      <c r="M164" s="717"/>
      <c r="N164" s="718"/>
      <c r="O164" s="718"/>
    </row>
    <row r="165" spans="2:15" ht="27" customHeight="1" x14ac:dyDescent="0.3">
      <c r="B165" s="719"/>
      <c r="C165" s="719"/>
      <c r="D165" s="719"/>
      <c r="E165" s="719"/>
      <c r="F165" s="720"/>
      <c r="G165" s="721"/>
      <c r="H165" s="722"/>
      <c r="I165" s="96"/>
      <c r="J165" s="717"/>
      <c r="K165" s="717"/>
      <c r="L165" s="717"/>
      <c r="M165" s="717"/>
      <c r="N165" s="718"/>
      <c r="O165" s="718"/>
    </row>
    <row r="166" spans="2:15" ht="31.5" customHeight="1" thickBot="1" x14ac:dyDescent="0.35">
      <c r="B166" s="727"/>
      <c r="C166" s="727"/>
      <c r="D166" s="727"/>
      <c r="E166" s="727"/>
      <c r="F166" s="728"/>
      <c r="G166" s="729"/>
      <c r="H166" s="730"/>
      <c r="I166" s="98"/>
      <c r="J166" s="731"/>
      <c r="K166" s="731"/>
      <c r="L166" s="731"/>
      <c r="M166" s="731"/>
      <c r="N166" s="732"/>
      <c r="O166" s="732"/>
    </row>
    <row r="167" spans="2:15" ht="28.5" customHeight="1" x14ac:dyDescent="0.3">
      <c r="B167" s="733"/>
      <c r="C167" s="733"/>
      <c r="D167" s="733"/>
      <c r="E167" s="733"/>
      <c r="F167" s="733"/>
      <c r="G167" s="733"/>
      <c r="H167" s="733"/>
      <c r="I167" s="97"/>
      <c r="J167" s="717"/>
      <c r="K167" s="717"/>
      <c r="L167" s="717"/>
      <c r="M167" s="717"/>
      <c r="N167" s="734"/>
      <c r="O167" s="734"/>
    </row>
    <row r="168" spans="2:15" ht="27.75" customHeight="1" x14ac:dyDescent="0.3">
      <c r="B168" s="726"/>
      <c r="C168" s="726"/>
      <c r="D168" s="726"/>
      <c r="E168" s="726"/>
      <c r="F168" s="720"/>
      <c r="G168" s="721"/>
      <c r="H168" s="722"/>
      <c r="I168" s="96"/>
      <c r="J168" s="717"/>
      <c r="K168" s="717"/>
      <c r="L168" s="717"/>
      <c r="M168" s="717"/>
      <c r="N168" s="718"/>
      <c r="O168" s="718"/>
    </row>
    <row r="169" spans="2:15" ht="24" customHeight="1" x14ac:dyDescent="0.3">
      <c r="B169" s="719"/>
      <c r="C169" s="719"/>
      <c r="D169" s="719"/>
      <c r="E169" s="719"/>
      <c r="F169" s="720"/>
      <c r="G169" s="721"/>
      <c r="H169" s="722"/>
      <c r="I169" s="96"/>
      <c r="J169" s="717"/>
      <c r="K169" s="717"/>
      <c r="L169" s="717"/>
      <c r="M169" s="717"/>
      <c r="N169" s="718"/>
      <c r="O169" s="718"/>
    </row>
    <row r="170" spans="2:15" ht="28.5" customHeight="1" x14ac:dyDescent="0.3">
      <c r="B170" s="735"/>
      <c r="C170" s="735"/>
      <c r="D170" s="735"/>
      <c r="E170" s="735"/>
      <c r="F170" s="717"/>
      <c r="G170" s="717"/>
      <c r="H170" s="717"/>
      <c r="I170" s="96"/>
      <c r="J170" s="717"/>
      <c r="K170" s="717"/>
      <c r="L170" s="717"/>
      <c r="M170" s="717"/>
      <c r="N170" s="718"/>
      <c r="O170" s="718"/>
    </row>
    <row r="171" spans="2:15" ht="24" hidden="1" customHeight="1" x14ac:dyDescent="0.3">
      <c r="B171" s="735"/>
      <c r="C171" s="735"/>
      <c r="D171" s="735"/>
      <c r="E171" s="735"/>
      <c r="F171" s="736"/>
      <c r="G171" s="736"/>
      <c r="H171" s="736"/>
      <c r="I171" s="96"/>
      <c r="J171" s="734"/>
      <c r="K171" s="734"/>
      <c r="L171" s="734"/>
      <c r="M171" s="734"/>
      <c r="N171" s="718"/>
      <c r="O171" s="718"/>
    </row>
    <row r="172" spans="2:15" ht="24" hidden="1" customHeight="1" x14ac:dyDescent="0.3">
      <c r="B172" s="719"/>
      <c r="C172" s="719"/>
      <c r="D172" s="719"/>
      <c r="E172" s="719"/>
      <c r="F172" s="717"/>
      <c r="G172" s="717"/>
      <c r="H172" s="717"/>
      <c r="I172" s="96"/>
      <c r="J172" s="628"/>
      <c r="K172" s="628"/>
      <c r="L172" s="628"/>
      <c r="M172" s="628"/>
      <c r="N172" s="628"/>
      <c r="O172" s="628"/>
    </row>
    <row r="173" spans="2:15" ht="24" hidden="1" customHeight="1" x14ac:dyDescent="0.3">
      <c r="B173" s="719"/>
      <c r="C173" s="719"/>
      <c r="D173" s="719"/>
      <c r="E173" s="719"/>
      <c r="F173" s="717"/>
      <c r="G173" s="717"/>
      <c r="H173" s="717"/>
      <c r="I173" s="96"/>
      <c r="J173" s="628"/>
      <c r="K173" s="628"/>
      <c r="L173" s="628"/>
      <c r="M173" s="628"/>
      <c r="N173" s="628"/>
      <c r="O173" s="628"/>
    </row>
    <row r="174" spans="2:15" ht="24" hidden="1" customHeight="1" x14ac:dyDescent="0.3">
      <c r="B174" s="735"/>
      <c r="C174" s="735"/>
      <c r="D174" s="735"/>
      <c r="E174" s="735"/>
      <c r="F174" s="736"/>
      <c r="G174" s="736"/>
      <c r="H174" s="736"/>
      <c r="I174" s="96"/>
      <c r="J174" s="718"/>
      <c r="K174" s="718"/>
      <c r="L174" s="718"/>
      <c r="M174" s="718"/>
      <c r="N174" s="718"/>
      <c r="O174" s="718"/>
    </row>
    <row r="175" spans="2:15" ht="24" hidden="1" customHeight="1" x14ac:dyDescent="0.3">
      <c r="B175" s="735"/>
      <c r="C175" s="735"/>
      <c r="D175" s="735"/>
      <c r="E175" s="735"/>
      <c r="F175" s="736"/>
      <c r="G175" s="736"/>
      <c r="H175" s="736"/>
      <c r="I175" s="96"/>
      <c r="J175" s="718"/>
      <c r="K175" s="718"/>
      <c r="L175" s="718"/>
      <c r="M175" s="718"/>
      <c r="N175" s="718"/>
      <c r="O175" s="718"/>
    </row>
    <row r="176" spans="2:15" ht="24" hidden="1" customHeight="1" x14ac:dyDescent="0.3">
      <c r="B176" s="719"/>
      <c r="C176" s="719"/>
      <c r="D176" s="719"/>
      <c r="E176" s="719"/>
      <c r="F176" s="717"/>
      <c r="G176" s="717"/>
      <c r="H176" s="717"/>
      <c r="I176" s="96"/>
      <c r="J176" s="628"/>
      <c r="K176" s="628"/>
      <c r="L176" s="628"/>
      <c r="M176" s="628"/>
      <c r="N176" s="628"/>
      <c r="O176" s="628"/>
    </row>
    <row r="177" spans="2:15" ht="24" hidden="1" customHeight="1" x14ac:dyDescent="0.3">
      <c r="B177" s="719"/>
      <c r="C177" s="719"/>
      <c r="D177" s="719"/>
      <c r="E177" s="719"/>
      <c r="F177" s="717"/>
      <c r="G177" s="717"/>
      <c r="H177" s="717"/>
      <c r="I177" s="96"/>
      <c r="J177" s="628"/>
      <c r="K177" s="628"/>
      <c r="L177" s="628"/>
      <c r="M177" s="628"/>
      <c r="N177" s="628"/>
      <c r="O177" s="628"/>
    </row>
    <row r="178" spans="2:15" ht="24" hidden="1" customHeight="1" x14ac:dyDescent="0.3">
      <c r="B178" s="735"/>
      <c r="C178" s="735"/>
      <c r="D178" s="735"/>
      <c r="E178" s="735"/>
      <c r="F178" s="736"/>
      <c r="G178" s="736"/>
      <c r="H178" s="736"/>
      <c r="I178" s="96"/>
      <c r="J178" s="718"/>
      <c r="K178" s="718"/>
      <c r="L178" s="718"/>
      <c r="M178" s="718"/>
      <c r="N178" s="718"/>
      <c r="O178" s="718"/>
    </row>
    <row r="179" spans="2:15" ht="24" hidden="1" customHeight="1" x14ac:dyDescent="0.3">
      <c r="B179" s="735"/>
      <c r="C179" s="735"/>
      <c r="D179" s="735"/>
      <c r="E179" s="735"/>
      <c r="F179" s="736"/>
      <c r="G179" s="736"/>
      <c r="H179" s="736"/>
      <c r="I179" s="96"/>
      <c r="J179" s="718"/>
      <c r="K179" s="718"/>
      <c r="L179" s="718"/>
      <c r="M179" s="718"/>
      <c r="N179" s="718"/>
      <c r="O179" s="718"/>
    </row>
    <row r="180" spans="2:15" ht="24" hidden="1" customHeight="1" x14ac:dyDescent="0.3">
      <c r="B180" s="719"/>
      <c r="C180" s="719"/>
      <c r="D180" s="719"/>
      <c r="E180" s="719"/>
      <c r="F180" s="717"/>
      <c r="G180" s="717"/>
      <c r="H180" s="717"/>
      <c r="I180" s="96"/>
      <c r="J180" s="628"/>
      <c r="K180" s="628"/>
      <c r="L180" s="628"/>
      <c r="M180" s="628"/>
      <c r="N180" s="628"/>
      <c r="O180" s="628"/>
    </row>
    <row r="181" spans="2:15" hidden="1" x14ac:dyDescent="0.3">
      <c r="B181" s="719"/>
      <c r="C181" s="719"/>
      <c r="D181" s="719"/>
      <c r="E181" s="719"/>
      <c r="F181" s="628"/>
      <c r="G181" s="628"/>
      <c r="H181" s="628"/>
      <c r="I181" s="56"/>
      <c r="J181" s="628"/>
      <c r="K181" s="628"/>
      <c r="L181" s="628"/>
      <c r="M181" s="628"/>
      <c r="N181" s="628"/>
      <c r="O181" s="628"/>
    </row>
    <row r="182" spans="2:15" hidden="1" x14ac:dyDescent="0.3">
      <c r="B182" s="735"/>
      <c r="C182" s="735"/>
      <c r="D182" s="735"/>
      <c r="E182" s="735"/>
      <c r="F182" s="718"/>
      <c r="G182" s="718"/>
      <c r="H182" s="718"/>
      <c r="I182" s="194"/>
      <c r="J182" s="718"/>
      <c r="K182" s="718"/>
      <c r="L182" s="718"/>
      <c r="M182" s="718"/>
      <c r="N182" s="718"/>
      <c r="O182" s="718"/>
    </row>
    <row r="183" spans="2:15" hidden="1" x14ac:dyDescent="0.3">
      <c r="B183" s="735"/>
      <c r="C183" s="735"/>
      <c r="D183" s="735"/>
      <c r="E183" s="735"/>
      <c r="F183" s="718"/>
      <c r="G183" s="718"/>
      <c r="H183" s="718"/>
      <c r="I183" s="94"/>
      <c r="J183" s="718"/>
      <c r="K183" s="718"/>
      <c r="L183" s="718"/>
      <c r="M183" s="718"/>
      <c r="N183" s="718"/>
      <c r="O183" s="718"/>
    </row>
    <row r="184" spans="2:15" hidden="1" x14ac:dyDescent="0.3">
      <c r="B184" s="719"/>
      <c r="C184" s="719"/>
      <c r="D184" s="719"/>
      <c r="E184" s="719"/>
      <c r="F184" s="628"/>
      <c r="G184" s="628"/>
      <c r="H184" s="628"/>
      <c r="I184" s="56"/>
      <c r="J184" s="628"/>
      <c r="K184" s="628"/>
      <c r="L184" s="628"/>
      <c r="M184" s="628"/>
      <c r="N184" s="628"/>
      <c r="O184" s="628"/>
    </row>
    <row r="185" spans="2:15" x14ac:dyDescent="0.3"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</row>
    <row r="186" spans="2:15" x14ac:dyDescent="0.3"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</row>
    <row r="187" spans="2:15" ht="15" thickBot="1" x14ac:dyDescent="0.35"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</row>
    <row r="188" spans="2:15" ht="15" thickBot="1" x14ac:dyDescent="0.35">
      <c r="B188" s="68" t="s">
        <v>31</v>
      </c>
      <c r="C188" s="258" t="s">
        <v>57</v>
      </c>
      <c r="D188" s="258" t="s">
        <v>58</v>
      </c>
      <c r="E188" s="258" t="s">
        <v>59</v>
      </c>
      <c r="F188" s="258" t="s">
        <v>2</v>
      </c>
      <c r="G188" s="258" t="s">
        <v>60</v>
      </c>
      <c r="H188" s="258" t="s">
        <v>61</v>
      </c>
      <c r="I188" s="258" t="s">
        <v>62</v>
      </c>
      <c r="J188" s="258" t="s">
        <v>63</v>
      </c>
      <c r="K188" s="258" t="s">
        <v>64</v>
      </c>
      <c r="L188" s="258" t="s">
        <v>65</v>
      </c>
      <c r="M188" s="258" t="s">
        <v>66</v>
      </c>
      <c r="N188" s="281" t="s">
        <v>67</v>
      </c>
      <c r="O188" s="285" t="s">
        <v>14</v>
      </c>
    </row>
    <row r="189" spans="2:15" ht="15" hidden="1" thickBot="1" x14ac:dyDescent="0.35">
      <c r="B189" s="284"/>
      <c r="C189" s="309"/>
      <c r="D189" s="309"/>
      <c r="E189" s="309"/>
      <c r="F189" s="309"/>
      <c r="G189" s="309"/>
      <c r="H189" s="309"/>
      <c r="I189" s="309"/>
      <c r="J189" s="309"/>
      <c r="K189" s="309"/>
      <c r="L189" s="309"/>
      <c r="M189" s="309"/>
      <c r="N189" s="309"/>
      <c r="O189" s="310"/>
    </row>
    <row r="190" spans="2:15" x14ac:dyDescent="0.3">
      <c r="B190" s="314" t="s">
        <v>242</v>
      </c>
      <c r="C190" s="315" t="e">
        <f>IF(C154&gt;$A151,"OK","NOK")</f>
        <v>#DIV/0!</v>
      </c>
      <c r="D190" s="315" t="e">
        <f t="shared" ref="D190:N190" si="32">IF(D154&gt;$A151,"OK","NOK")</f>
        <v>#DIV/0!</v>
      </c>
      <c r="E190" s="315" t="e">
        <f t="shared" si="32"/>
        <v>#DIV/0!</v>
      </c>
      <c r="F190" s="315" t="e">
        <f t="shared" si="32"/>
        <v>#DIV/0!</v>
      </c>
      <c r="G190" s="315" t="e">
        <f t="shared" si="32"/>
        <v>#DIV/0!</v>
      </c>
      <c r="H190" s="315" t="e">
        <f t="shared" si="32"/>
        <v>#DIV/0!</v>
      </c>
      <c r="I190" s="315" t="e">
        <f t="shared" si="32"/>
        <v>#DIV/0!</v>
      </c>
      <c r="J190" s="315" t="e">
        <f t="shared" si="32"/>
        <v>#DIV/0!</v>
      </c>
      <c r="K190" s="315" t="e">
        <f t="shared" si="32"/>
        <v>#DIV/0!</v>
      </c>
      <c r="L190" s="315" t="e">
        <f t="shared" si="32"/>
        <v>#DIV/0!</v>
      </c>
      <c r="M190" s="315" t="e">
        <f t="shared" si="32"/>
        <v>#DIV/0!</v>
      </c>
      <c r="N190" s="315" t="e">
        <f t="shared" si="32"/>
        <v>#DIV/0!</v>
      </c>
      <c r="O190" s="316">
        <f>+COUNTIF(C190:N190,"OK")</f>
        <v>0</v>
      </c>
    </row>
    <row r="191" spans="2:15" ht="15" thickBot="1" x14ac:dyDescent="0.35">
      <c r="B191" s="317" t="s">
        <v>241</v>
      </c>
      <c r="C191" s="318" t="str">
        <f>IF(G113&lt;=$A114,"OK","NOK")</f>
        <v>OK</v>
      </c>
      <c r="D191" s="318" t="str">
        <f>IF(G114&lt;=$A114,"OK","NOK")</f>
        <v>OK</v>
      </c>
      <c r="E191" s="318" t="str">
        <f>IF(G117&lt;=$A114,"OK","NOK")</f>
        <v>OK</v>
      </c>
      <c r="F191" s="318" t="str">
        <f>IF(G120&lt;=$A114,"OK","NOK")</f>
        <v>OK</v>
      </c>
      <c r="G191" s="318" t="str">
        <f>IF(G123&lt;=$A114,"OK","NOK")</f>
        <v>OK</v>
      </c>
      <c r="H191" s="318" t="str">
        <f>IF(G126&lt;=$A114,"OK","NOK")</f>
        <v>OK</v>
      </c>
      <c r="I191" s="318" t="str">
        <f>IF(G129&lt;=$A114,"OK","NOK")</f>
        <v>OK</v>
      </c>
      <c r="J191" s="318" t="str">
        <f>IF(G132&lt;=$A114,"OK","NOK")</f>
        <v>OK</v>
      </c>
      <c r="K191" s="318" t="str">
        <f>IF(G113&lt;=$A114,"OK","NOK")</f>
        <v>OK</v>
      </c>
      <c r="L191" s="318" t="str">
        <f>IF(G135&lt;=$A114,"OK","NOK")</f>
        <v>OK</v>
      </c>
      <c r="M191" s="318" t="str">
        <f>IF(G141&lt;=$A114,"OK","NOK")</f>
        <v>OK</v>
      </c>
      <c r="N191" s="318" t="str">
        <f>IF(G144&lt;=$A114,"OK","NOK")</f>
        <v>OK</v>
      </c>
      <c r="O191" s="319">
        <f>+COUNTIF(C191:N191,"OK")</f>
        <v>12</v>
      </c>
    </row>
    <row r="192" spans="2:15" x14ac:dyDescent="0.3">
      <c r="B192" s="311" t="s">
        <v>239</v>
      </c>
      <c r="C192" s="274" t="str">
        <f>IF(C151&gt;$A151,"OK","NOK")</f>
        <v>NOK</v>
      </c>
      <c r="D192" s="274" t="str">
        <f t="shared" ref="D192:N192" si="33">IF(D151&gt;$A151,"OK","NOK")</f>
        <v>NOK</v>
      </c>
      <c r="E192" s="274" t="str">
        <f t="shared" si="33"/>
        <v>NOK</v>
      </c>
      <c r="F192" s="274" t="str">
        <f t="shared" si="33"/>
        <v>NOK</v>
      </c>
      <c r="G192" s="274" t="str">
        <f t="shared" si="33"/>
        <v>NOK</v>
      </c>
      <c r="H192" s="274" t="str">
        <f t="shared" si="33"/>
        <v>NOK</v>
      </c>
      <c r="I192" s="274" t="str">
        <f t="shared" si="33"/>
        <v>NOK</v>
      </c>
      <c r="J192" s="274" t="str">
        <f t="shared" si="33"/>
        <v>NOK</v>
      </c>
      <c r="K192" s="274" t="str">
        <f t="shared" si="33"/>
        <v>NOK</v>
      </c>
      <c r="L192" s="274" t="str">
        <f t="shared" si="33"/>
        <v>NOK</v>
      </c>
      <c r="M192" s="274" t="str">
        <f t="shared" si="33"/>
        <v>NOK</v>
      </c>
      <c r="N192" s="274" t="str">
        <f t="shared" si="33"/>
        <v>NOK</v>
      </c>
      <c r="O192" s="288">
        <f>+COUNTIF(C192:N192,"OK")</f>
        <v>0</v>
      </c>
    </row>
    <row r="193" spans="2:15" x14ac:dyDescent="0.3">
      <c r="B193" s="312" t="s">
        <v>243</v>
      </c>
      <c r="C193" s="274" t="str">
        <f t="shared" ref="C193:N193" si="34">IF(C152&gt;$A152,"OK","NOK")</f>
        <v>NOK</v>
      </c>
      <c r="D193" s="274" t="str">
        <f t="shared" si="34"/>
        <v>NOK</v>
      </c>
      <c r="E193" s="274" t="str">
        <f t="shared" si="34"/>
        <v>NOK</v>
      </c>
      <c r="F193" s="274" t="str">
        <f t="shared" si="34"/>
        <v>NOK</v>
      </c>
      <c r="G193" s="274" t="str">
        <f t="shared" si="34"/>
        <v>NOK</v>
      </c>
      <c r="H193" s="274" t="str">
        <f t="shared" si="34"/>
        <v>NOK</v>
      </c>
      <c r="I193" s="274" t="str">
        <f t="shared" si="34"/>
        <v>NOK</v>
      </c>
      <c r="J193" s="274" t="str">
        <f t="shared" si="34"/>
        <v>NOK</v>
      </c>
      <c r="K193" s="274" t="str">
        <f t="shared" si="34"/>
        <v>NOK</v>
      </c>
      <c r="L193" s="274" t="str">
        <f t="shared" si="34"/>
        <v>NOK</v>
      </c>
      <c r="M193" s="274" t="str">
        <f t="shared" si="34"/>
        <v>NOK</v>
      </c>
      <c r="N193" s="274" t="str">
        <f t="shared" si="34"/>
        <v>NOK</v>
      </c>
      <c r="O193" s="288">
        <f>+COUNTIF(C193:N193,"OK")</f>
        <v>0</v>
      </c>
    </row>
    <row r="194" spans="2:15" x14ac:dyDescent="0.3">
      <c r="B194" s="278" t="s">
        <v>240</v>
      </c>
      <c r="C194" s="274" t="str">
        <f>IF(C153=$A153,"OK","NOK")</f>
        <v>NOK</v>
      </c>
      <c r="D194" s="274" t="str">
        <f t="shared" ref="D194:N194" si="35">IF(D153=$A153,"OK","NOK")</f>
        <v>NOK</v>
      </c>
      <c r="E194" s="274" t="str">
        <f t="shared" si="35"/>
        <v>NOK</v>
      </c>
      <c r="F194" s="274" t="str">
        <f t="shared" si="35"/>
        <v>NOK</v>
      </c>
      <c r="G194" s="274" t="str">
        <f t="shared" si="35"/>
        <v>NOK</v>
      </c>
      <c r="H194" s="274" t="str">
        <f t="shared" si="35"/>
        <v>NOK</v>
      </c>
      <c r="I194" s="274" t="str">
        <f t="shared" si="35"/>
        <v>NOK</v>
      </c>
      <c r="J194" s="274" t="str">
        <f t="shared" si="35"/>
        <v>NOK</v>
      </c>
      <c r="K194" s="274" t="str">
        <f t="shared" si="35"/>
        <v>NOK</v>
      </c>
      <c r="L194" s="274" t="str">
        <f t="shared" si="35"/>
        <v>NOK</v>
      </c>
      <c r="M194" s="274" t="str">
        <f t="shared" si="35"/>
        <v>NOK</v>
      </c>
      <c r="N194" s="274" t="str">
        <f t="shared" si="35"/>
        <v>NOK</v>
      </c>
      <c r="O194" s="288">
        <f>+COUNTIF(C194:N194,"OK")</f>
        <v>0</v>
      </c>
    </row>
    <row r="195" spans="2:15" x14ac:dyDescent="0.3">
      <c r="B195" s="279" t="s">
        <v>245</v>
      </c>
      <c r="C195" s="274" t="str">
        <f>IF(C6&lt;$A6,"OK","NOK")</f>
        <v>NOK</v>
      </c>
      <c r="D195" s="274" t="str">
        <f t="shared" ref="D195:N196" si="36">IF(D6&lt;$A6,"OK","NOK")</f>
        <v>NOK</v>
      </c>
      <c r="E195" s="274" t="str">
        <f t="shared" si="36"/>
        <v>NOK</v>
      </c>
      <c r="F195" s="274" t="str">
        <f t="shared" si="36"/>
        <v>NOK</v>
      </c>
      <c r="G195" s="274" t="str">
        <f t="shared" si="36"/>
        <v>OK</v>
      </c>
      <c r="H195" s="274" t="str">
        <f t="shared" si="36"/>
        <v>OK</v>
      </c>
      <c r="I195" s="274" t="str">
        <f t="shared" si="36"/>
        <v>OK</v>
      </c>
      <c r="J195" s="274" t="str">
        <f t="shared" si="36"/>
        <v>OK</v>
      </c>
      <c r="K195" s="274" t="str">
        <f t="shared" si="36"/>
        <v>OK</v>
      </c>
      <c r="L195" s="274" t="str">
        <f t="shared" si="36"/>
        <v>OK</v>
      </c>
      <c r="M195" s="274" t="str">
        <f t="shared" si="36"/>
        <v>OK</v>
      </c>
      <c r="N195" s="274" t="str">
        <f t="shared" si="36"/>
        <v>OK</v>
      </c>
      <c r="O195" s="118"/>
    </row>
    <row r="196" spans="2:15" ht="15" thickBot="1" x14ac:dyDescent="0.35">
      <c r="B196" s="279" t="s">
        <v>244</v>
      </c>
      <c r="C196" s="274" t="str">
        <f>IF(C7&lt;$A7,"OK","NOK")</f>
        <v>NOK</v>
      </c>
      <c r="D196" s="274" t="str">
        <f t="shared" si="36"/>
        <v>NOK</v>
      </c>
      <c r="E196" s="274" t="str">
        <f t="shared" si="36"/>
        <v>NOK</v>
      </c>
      <c r="F196" s="274" t="str">
        <f t="shared" si="36"/>
        <v>NOK</v>
      </c>
      <c r="G196" s="274" t="str">
        <f t="shared" si="36"/>
        <v>OK</v>
      </c>
      <c r="H196" s="274" t="str">
        <f t="shared" si="36"/>
        <v>OK</v>
      </c>
      <c r="I196" s="274" t="str">
        <f t="shared" si="36"/>
        <v>OK</v>
      </c>
      <c r="J196" s="274" t="str">
        <f t="shared" si="36"/>
        <v>OK</v>
      </c>
      <c r="K196" s="274" t="str">
        <f t="shared" si="36"/>
        <v>OK</v>
      </c>
      <c r="L196" s="274" t="str">
        <f t="shared" si="36"/>
        <v>OK</v>
      </c>
      <c r="M196" s="274" t="str">
        <f t="shared" si="36"/>
        <v>OK</v>
      </c>
      <c r="N196" s="274" t="str">
        <f t="shared" si="36"/>
        <v>OK</v>
      </c>
      <c r="O196" s="118"/>
    </row>
    <row r="197" spans="2:15" ht="15" hidden="1" thickBot="1" x14ac:dyDescent="0.35">
      <c r="B197" s="313"/>
      <c r="C197" s="274" t="str">
        <f t="shared" ref="C197:N197" si="37">IF(C8=$A8,"OK","NOK")</f>
        <v>NOK</v>
      </c>
      <c r="D197" s="274" t="str">
        <f t="shared" si="37"/>
        <v>NOK</v>
      </c>
      <c r="E197" s="274" t="str">
        <f t="shared" si="37"/>
        <v>NOK</v>
      </c>
      <c r="F197" s="274" t="str">
        <f t="shared" si="37"/>
        <v>NOK</v>
      </c>
      <c r="G197" s="274" t="str">
        <f t="shared" si="37"/>
        <v>OK</v>
      </c>
      <c r="H197" s="274" t="str">
        <f t="shared" si="37"/>
        <v>OK</v>
      </c>
      <c r="I197" s="274" t="str">
        <f t="shared" si="37"/>
        <v>OK</v>
      </c>
      <c r="J197" s="274" t="str">
        <f t="shared" si="37"/>
        <v>OK</v>
      </c>
      <c r="K197" s="274" t="str">
        <f t="shared" si="37"/>
        <v>OK</v>
      </c>
      <c r="L197" s="274" t="str">
        <f t="shared" si="37"/>
        <v>OK</v>
      </c>
      <c r="M197" s="274" t="str">
        <f t="shared" si="37"/>
        <v>OK</v>
      </c>
      <c r="N197" s="274" t="str">
        <f t="shared" si="37"/>
        <v>OK</v>
      </c>
      <c r="O197" s="118"/>
    </row>
    <row r="198" spans="2:15" ht="15" thickBot="1" x14ac:dyDescent="0.35">
      <c r="B198" s="305" t="s">
        <v>231</v>
      </c>
      <c r="C198" s="292">
        <f>COUNTIF(C189:C197,"OK")</f>
        <v>1</v>
      </c>
      <c r="D198" s="293">
        <f t="shared" ref="D198:N198" si="38">COUNTIF(D189:D197,"OK")</f>
        <v>1</v>
      </c>
      <c r="E198" s="293">
        <f t="shared" si="38"/>
        <v>1</v>
      </c>
      <c r="F198" s="293">
        <f t="shared" si="38"/>
        <v>1</v>
      </c>
      <c r="G198" s="293">
        <f t="shared" si="38"/>
        <v>4</v>
      </c>
      <c r="H198" s="293">
        <f t="shared" si="38"/>
        <v>4</v>
      </c>
      <c r="I198" s="293">
        <f t="shared" si="38"/>
        <v>4</v>
      </c>
      <c r="J198" s="293">
        <f t="shared" si="38"/>
        <v>4</v>
      </c>
      <c r="K198" s="293">
        <f t="shared" si="38"/>
        <v>4</v>
      </c>
      <c r="L198" s="293">
        <f t="shared" si="38"/>
        <v>4</v>
      </c>
      <c r="M198" s="293">
        <f t="shared" si="38"/>
        <v>4</v>
      </c>
      <c r="N198" s="294">
        <f t="shared" si="38"/>
        <v>4</v>
      </c>
      <c r="O198" s="295">
        <f>SUM(O189:O197)</f>
        <v>12</v>
      </c>
    </row>
    <row r="199" spans="2:15" ht="15" thickBot="1" x14ac:dyDescent="0.35">
      <c r="B199" s="305" t="s">
        <v>232</v>
      </c>
      <c r="C199" s="296">
        <f>C198/9</f>
        <v>0.1111111111111111</v>
      </c>
      <c r="D199" s="297">
        <f t="shared" ref="D199:N199" si="39">D198/9</f>
        <v>0.1111111111111111</v>
      </c>
      <c r="E199" s="297">
        <f t="shared" si="39"/>
        <v>0.1111111111111111</v>
      </c>
      <c r="F199" s="297">
        <f t="shared" si="39"/>
        <v>0.1111111111111111</v>
      </c>
      <c r="G199" s="297">
        <f t="shared" si="39"/>
        <v>0.44444444444444442</v>
      </c>
      <c r="H199" s="297">
        <f t="shared" si="39"/>
        <v>0.44444444444444442</v>
      </c>
      <c r="I199" s="297">
        <f t="shared" si="39"/>
        <v>0.44444444444444442</v>
      </c>
      <c r="J199" s="297">
        <f t="shared" si="39"/>
        <v>0.44444444444444442</v>
      </c>
      <c r="K199" s="297">
        <f t="shared" si="39"/>
        <v>0.44444444444444442</v>
      </c>
      <c r="L199" s="297">
        <f t="shared" si="39"/>
        <v>0.44444444444444442</v>
      </c>
      <c r="M199" s="297">
        <f t="shared" si="39"/>
        <v>0.44444444444444442</v>
      </c>
      <c r="N199" s="298">
        <f t="shared" si="39"/>
        <v>0.44444444444444442</v>
      </c>
      <c r="O199" s="299">
        <f>O198/108</f>
        <v>0.1111111111111111</v>
      </c>
    </row>
    <row r="200" spans="2:15" ht="15" hidden="1" thickBot="1" x14ac:dyDescent="0.35">
      <c r="B200" s="284"/>
      <c r="C200" s="264"/>
      <c r="D200" s="264"/>
      <c r="E200" s="264"/>
      <c r="F200" s="264"/>
      <c r="G200" s="264"/>
      <c r="H200" s="264"/>
      <c r="I200" s="264"/>
      <c r="J200" s="264"/>
      <c r="K200" s="264"/>
      <c r="L200" s="264"/>
      <c r="M200" s="264"/>
      <c r="N200" s="264"/>
      <c r="O200" s="289"/>
    </row>
    <row r="201" spans="2:15" x14ac:dyDescent="0.3">
      <c r="B201" s="314" t="s">
        <v>242</v>
      </c>
      <c r="C201" s="315" t="e">
        <f>IF(C158&gt;$A154,"OK","NOK")</f>
        <v>#DIV/0!</v>
      </c>
      <c r="D201" s="315" t="e">
        <f t="shared" ref="D201:N201" si="40">IF(D158&gt;$A154,"OK","NOK")</f>
        <v>#DIV/0!</v>
      </c>
      <c r="E201" s="315" t="e">
        <f t="shared" si="40"/>
        <v>#DIV/0!</v>
      </c>
      <c r="F201" s="315" t="e">
        <f t="shared" si="40"/>
        <v>#DIV/0!</v>
      </c>
      <c r="G201" s="315" t="e">
        <f t="shared" si="40"/>
        <v>#DIV/0!</v>
      </c>
      <c r="H201" s="315" t="e">
        <f t="shared" si="40"/>
        <v>#DIV/0!</v>
      </c>
      <c r="I201" s="315" t="e">
        <f t="shared" si="40"/>
        <v>#DIV/0!</v>
      </c>
      <c r="J201" s="315" t="e">
        <f t="shared" si="40"/>
        <v>#DIV/0!</v>
      </c>
      <c r="K201" s="315" t="e">
        <f t="shared" si="40"/>
        <v>#DIV/0!</v>
      </c>
      <c r="L201" s="315" t="e">
        <f t="shared" si="40"/>
        <v>#DIV/0!</v>
      </c>
      <c r="M201" s="315" t="e">
        <f t="shared" si="40"/>
        <v>#DIV/0!</v>
      </c>
      <c r="N201" s="315" t="e">
        <f t="shared" si="40"/>
        <v>#DIV/0!</v>
      </c>
      <c r="O201" s="316">
        <f>+COUNTIF(C201:N201,"OK")</f>
        <v>0</v>
      </c>
    </row>
    <row r="202" spans="2:15" ht="15" thickBot="1" x14ac:dyDescent="0.35">
      <c r="B202" s="317" t="s">
        <v>241</v>
      </c>
      <c r="C202" s="318" t="str">
        <f>IF(O113&lt;=$A114,"OK","NOK")</f>
        <v>OK</v>
      </c>
      <c r="D202" s="318" t="str">
        <f>IF(O114&lt;=$A114,"OK","NOK")</f>
        <v>NOK</v>
      </c>
      <c r="E202" s="318" t="str">
        <f>IF(O117&lt;=$A114,"OK","NOK")</f>
        <v>OK</v>
      </c>
      <c r="F202" s="318" t="str">
        <f>IF(O120&lt;=$A114,"OK","NOK")</f>
        <v>OK</v>
      </c>
      <c r="G202" s="318" t="str">
        <f>IF(O123&lt;=$A114,"OK","NOK")</f>
        <v>NOK</v>
      </c>
      <c r="H202" s="318" t="str">
        <f>IF(O126&lt;=$A114,"OK","NOK")</f>
        <v>NOK</v>
      </c>
      <c r="I202" s="318" t="str">
        <f>IF(O129&lt;=$A114,"OK","NOK")</f>
        <v>OK</v>
      </c>
      <c r="J202" s="318" t="str">
        <f>IF(O132&lt;=$A114,"OK","NOK")</f>
        <v>OK</v>
      </c>
      <c r="K202" s="318" t="str">
        <f>IF(O135&lt;=$A114,"OK","NOK")</f>
        <v>OK</v>
      </c>
      <c r="L202" s="318" t="str">
        <f>IF(O138&lt;=$A114,"OK","NOK")</f>
        <v>OK</v>
      </c>
      <c r="M202" s="318" t="str">
        <f>IF(O141&lt;=$A114,"OK","NOK")</f>
        <v>OK</v>
      </c>
      <c r="N202" s="318" t="str">
        <f>IF(O144&lt;=$A114,"OK","NOK")</f>
        <v>OK</v>
      </c>
      <c r="O202" s="319">
        <f>+COUNTIF(C202:N202,"OK")</f>
        <v>9</v>
      </c>
    </row>
    <row r="203" spans="2:15" x14ac:dyDescent="0.3">
      <c r="B203" s="311" t="s">
        <v>239</v>
      </c>
      <c r="C203" s="274" t="str">
        <f>IF(C155&gt;$A151,"OK","NOK")</f>
        <v>NOK</v>
      </c>
      <c r="D203" s="274" t="str">
        <f t="shared" ref="D203:N203" si="41">IF(D155&gt;$A151,"OK","NOK")</f>
        <v>NOK</v>
      </c>
      <c r="E203" s="274" t="str">
        <f t="shared" si="41"/>
        <v>NOK</v>
      </c>
      <c r="F203" s="274" t="str">
        <f t="shared" si="41"/>
        <v>NOK</v>
      </c>
      <c r="G203" s="274" t="str">
        <f t="shared" si="41"/>
        <v>NOK</v>
      </c>
      <c r="H203" s="274" t="str">
        <f t="shared" si="41"/>
        <v>NOK</v>
      </c>
      <c r="I203" s="274" t="str">
        <f t="shared" si="41"/>
        <v>NOK</v>
      </c>
      <c r="J203" s="274" t="str">
        <f t="shared" si="41"/>
        <v>NOK</v>
      </c>
      <c r="K203" s="274" t="str">
        <f t="shared" si="41"/>
        <v>NOK</v>
      </c>
      <c r="L203" s="274" t="str">
        <f t="shared" si="41"/>
        <v>NOK</v>
      </c>
      <c r="M203" s="274" t="str">
        <f t="shared" si="41"/>
        <v>NOK</v>
      </c>
      <c r="N203" s="274" t="str">
        <f t="shared" si="41"/>
        <v>NOK</v>
      </c>
      <c r="O203" s="288">
        <f>+COUNTIF(C203:N203,"OK")</f>
        <v>0</v>
      </c>
    </row>
    <row r="204" spans="2:15" x14ac:dyDescent="0.3">
      <c r="B204" s="312" t="s">
        <v>243</v>
      </c>
      <c r="C204" s="274" t="str">
        <f>IF(C156&gt;$A152,"OK","NOK")</f>
        <v>NOK</v>
      </c>
      <c r="D204" s="274" t="str">
        <f t="shared" ref="D204:N204" si="42">IF(D156&gt;$A152,"OK","NOK")</f>
        <v>NOK</v>
      </c>
      <c r="E204" s="274" t="str">
        <f t="shared" si="42"/>
        <v>NOK</v>
      </c>
      <c r="F204" s="274" t="str">
        <f t="shared" si="42"/>
        <v>NOK</v>
      </c>
      <c r="G204" s="274" t="str">
        <f t="shared" si="42"/>
        <v>NOK</v>
      </c>
      <c r="H204" s="274" t="str">
        <f t="shared" si="42"/>
        <v>NOK</v>
      </c>
      <c r="I204" s="274" t="str">
        <f t="shared" si="42"/>
        <v>NOK</v>
      </c>
      <c r="J204" s="274" t="str">
        <f t="shared" si="42"/>
        <v>NOK</v>
      </c>
      <c r="K204" s="274" t="str">
        <f t="shared" si="42"/>
        <v>NOK</v>
      </c>
      <c r="L204" s="274" t="str">
        <f t="shared" si="42"/>
        <v>NOK</v>
      </c>
      <c r="M204" s="274" t="str">
        <f t="shared" si="42"/>
        <v>NOK</v>
      </c>
      <c r="N204" s="274" t="str">
        <f t="shared" si="42"/>
        <v>NOK</v>
      </c>
      <c r="O204" s="288">
        <f>+COUNTIF(C204:N204,"OK")</f>
        <v>0</v>
      </c>
    </row>
    <row r="205" spans="2:15" x14ac:dyDescent="0.3">
      <c r="B205" s="278" t="s">
        <v>240</v>
      </c>
      <c r="C205" s="274" t="str">
        <f>IF(C157=$A153,"OK","NOK")</f>
        <v>NOK</v>
      </c>
      <c r="D205" s="274" t="str">
        <f t="shared" ref="D205:N205" si="43">IF(D157=$A153,"OK","NOK")</f>
        <v>NOK</v>
      </c>
      <c r="E205" s="274" t="str">
        <f t="shared" si="43"/>
        <v>NOK</v>
      </c>
      <c r="F205" s="274" t="str">
        <f t="shared" si="43"/>
        <v>NOK</v>
      </c>
      <c r="G205" s="274" t="str">
        <f t="shared" si="43"/>
        <v>NOK</v>
      </c>
      <c r="H205" s="274" t="str">
        <f t="shared" si="43"/>
        <v>NOK</v>
      </c>
      <c r="I205" s="274" t="str">
        <f t="shared" si="43"/>
        <v>NOK</v>
      </c>
      <c r="J205" s="274" t="str">
        <f t="shared" si="43"/>
        <v>NOK</v>
      </c>
      <c r="K205" s="274" t="str">
        <f t="shared" si="43"/>
        <v>NOK</v>
      </c>
      <c r="L205" s="274" t="str">
        <f t="shared" si="43"/>
        <v>NOK</v>
      </c>
      <c r="M205" s="274" t="str">
        <f t="shared" si="43"/>
        <v>NOK</v>
      </c>
      <c r="N205" s="274" t="str">
        <f t="shared" si="43"/>
        <v>NOK</v>
      </c>
      <c r="O205" s="288">
        <f>+COUNTIF(C205:N205,"OK")</f>
        <v>0</v>
      </c>
    </row>
    <row r="206" spans="2:15" x14ac:dyDescent="0.3">
      <c r="B206" s="279" t="s">
        <v>245</v>
      </c>
      <c r="C206" s="274" t="str">
        <f>IF(C12&lt;$A12,"OK","NOK")</f>
        <v>NOK</v>
      </c>
      <c r="D206" s="274" t="str">
        <f t="shared" ref="D206:N207" si="44">IF(D12&lt;$A12,"OK","NOK")</f>
        <v>NOK</v>
      </c>
      <c r="E206" s="274" t="str">
        <f t="shared" si="44"/>
        <v>NOK</v>
      </c>
      <c r="F206" s="274" t="str">
        <f t="shared" si="44"/>
        <v>NOK</v>
      </c>
      <c r="G206" s="274" t="str">
        <f t="shared" si="44"/>
        <v>OK</v>
      </c>
      <c r="H206" s="274" t="str">
        <f t="shared" si="44"/>
        <v>OK</v>
      </c>
      <c r="I206" s="274" t="str">
        <f t="shared" si="44"/>
        <v>OK</v>
      </c>
      <c r="J206" s="274" t="str">
        <f t="shared" si="44"/>
        <v>OK</v>
      </c>
      <c r="K206" s="274" t="str">
        <f t="shared" si="44"/>
        <v>OK</v>
      </c>
      <c r="L206" s="274" t="str">
        <f t="shared" si="44"/>
        <v>OK</v>
      </c>
      <c r="M206" s="274" t="str">
        <f t="shared" si="44"/>
        <v>OK</v>
      </c>
      <c r="N206" s="274" t="str">
        <f t="shared" si="44"/>
        <v>OK</v>
      </c>
      <c r="O206" s="118"/>
    </row>
    <row r="207" spans="2:15" x14ac:dyDescent="0.3">
      <c r="B207" s="279" t="s">
        <v>244</v>
      </c>
      <c r="C207" s="274" t="str">
        <f>IF(C13&lt;$A13,"OK","NOK")</f>
        <v>NOK</v>
      </c>
      <c r="D207" s="274" t="str">
        <f t="shared" si="44"/>
        <v>NOK</v>
      </c>
      <c r="E207" s="274" t="str">
        <f t="shared" si="44"/>
        <v>NOK</v>
      </c>
      <c r="F207" s="274" t="str">
        <f t="shared" si="44"/>
        <v>NOK</v>
      </c>
      <c r="G207" s="274" t="str">
        <f t="shared" si="44"/>
        <v>OK</v>
      </c>
      <c r="H207" s="274" t="str">
        <f t="shared" si="44"/>
        <v>OK</v>
      </c>
      <c r="I207" s="274" t="str">
        <f t="shared" si="44"/>
        <v>OK</v>
      </c>
      <c r="J207" s="274" t="str">
        <f t="shared" si="44"/>
        <v>OK</v>
      </c>
      <c r="K207" s="274" t="str">
        <f t="shared" si="44"/>
        <v>OK</v>
      </c>
      <c r="L207" s="274" t="str">
        <f t="shared" si="44"/>
        <v>OK</v>
      </c>
      <c r="M207" s="274" t="str">
        <f t="shared" si="44"/>
        <v>OK</v>
      </c>
      <c r="N207" s="274" t="str">
        <f t="shared" si="44"/>
        <v>OK</v>
      </c>
      <c r="O207" s="118"/>
    </row>
    <row r="208" spans="2:15" ht="15" thickBot="1" x14ac:dyDescent="0.35"/>
    <row r="209" spans="2:15" ht="15" thickBot="1" x14ac:dyDescent="0.35">
      <c r="B209" s="305" t="s">
        <v>231</v>
      </c>
      <c r="C209" s="292">
        <f>COUNTIF(C200:C208,"OK")</f>
        <v>1</v>
      </c>
      <c r="D209" s="293">
        <f t="shared" ref="D209:O209" si="45">COUNTIF(D200:D208,"OK")</f>
        <v>0</v>
      </c>
      <c r="E209" s="293">
        <f t="shared" si="45"/>
        <v>1</v>
      </c>
      <c r="F209" s="293">
        <f t="shared" si="45"/>
        <v>1</v>
      </c>
      <c r="G209" s="293">
        <f t="shared" si="45"/>
        <v>2</v>
      </c>
      <c r="H209" s="293">
        <f t="shared" si="45"/>
        <v>2</v>
      </c>
      <c r="I209" s="293">
        <f t="shared" si="45"/>
        <v>3</v>
      </c>
      <c r="J209" s="293">
        <f t="shared" si="45"/>
        <v>3</v>
      </c>
      <c r="K209" s="293">
        <f t="shared" si="45"/>
        <v>3</v>
      </c>
      <c r="L209" s="293">
        <f t="shared" si="45"/>
        <v>3</v>
      </c>
      <c r="M209" s="293">
        <f t="shared" si="45"/>
        <v>3</v>
      </c>
      <c r="N209" s="294">
        <f t="shared" si="45"/>
        <v>3</v>
      </c>
      <c r="O209" s="295">
        <f t="shared" si="45"/>
        <v>0</v>
      </c>
    </row>
    <row r="210" spans="2:15" ht="15" thickBot="1" x14ac:dyDescent="0.35">
      <c r="B210" s="305" t="s">
        <v>232</v>
      </c>
      <c r="C210" s="300">
        <f>C209/9</f>
        <v>0.1111111111111111</v>
      </c>
      <c r="D210" s="301">
        <f t="shared" ref="D210:N210" si="46">D209/9</f>
        <v>0</v>
      </c>
      <c r="E210" s="301">
        <f t="shared" si="46"/>
        <v>0.1111111111111111</v>
      </c>
      <c r="F210" s="301">
        <f t="shared" si="46"/>
        <v>0.1111111111111111</v>
      </c>
      <c r="G210" s="301">
        <f t="shared" si="46"/>
        <v>0.22222222222222221</v>
      </c>
      <c r="H210" s="301">
        <f t="shared" si="46"/>
        <v>0.22222222222222221</v>
      </c>
      <c r="I210" s="301">
        <f t="shared" si="46"/>
        <v>0.33333333333333331</v>
      </c>
      <c r="J210" s="301">
        <f t="shared" si="46"/>
        <v>0.33333333333333331</v>
      </c>
      <c r="K210" s="301">
        <f t="shared" si="46"/>
        <v>0.33333333333333331</v>
      </c>
      <c r="L210" s="301">
        <f t="shared" si="46"/>
        <v>0.33333333333333331</v>
      </c>
      <c r="M210" s="301">
        <f t="shared" si="46"/>
        <v>0.33333333333333331</v>
      </c>
      <c r="N210" s="302">
        <f t="shared" si="46"/>
        <v>0.33333333333333331</v>
      </c>
      <c r="O210" s="303">
        <f>O209/108</f>
        <v>0</v>
      </c>
    </row>
  </sheetData>
  <mergeCells count="419">
    <mergeCell ref="S69:T69"/>
    <mergeCell ref="Q69:R69"/>
    <mergeCell ref="O69:P69"/>
    <mergeCell ref="M69:N69"/>
    <mergeCell ref="K69:L69"/>
    <mergeCell ref="I69:J69"/>
    <mergeCell ref="G69:H69"/>
    <mergeCell ref="E69:F69"/>
    <mergeCell ref="C69:D69"/>
    <mergeCell ref="B184:E184"/>
    <mergeCell ref="F184:H184"/>
    <mergeCell ref="J184:M184"/>
    <mergeCell ref="N184:O184"/>
    <mergeCell ref="B182:E182"/>
    <mergeCell ref="F182:H182"/>
    <mergeCell ref="J182:M182"/>
    <mergeCell ref="N182:O182"/>
    <mergeCell ref="B183:E183"/>
    <mergeCell ref="F183:H183"/>
    <mergeCell ref="J183:M183"/>
    <mergeCell ref="N183:O183"/>
    <mergeCell ref="B180:E180"/>
    <mergeCell ref="F180:H180"/>
    <mergeCell ref="J180:M180"/>
    <mergeCell ref="N180:O180"/>
    <mergeCell ref="B181:E181"/>
    <mergeCell ref="F181:H181"/>
    <mergeCell ref="J181:M181"/>
    <mergeCell ref="N181:O181"/>
    <mergeCell ref="B178:E178"/>
    <mergeCell ref="F178:H178"/>
    <mergeCell ref="J178:M178"/>
    <mergeCell ref="N178:O178"/>
    <mergeCell ref="B179:E179"/>
    <mergeCell ref="F179:H179"/>
    <mergeCell ref="J179:M179"/>
    <mergeCell ref="N179:O179"/>
    <mergeCell ref="B176:E176"/>
    <mergeCell ref="F176:H176"/>
    <mergeCell ref="J176:M176"/>
    <mergeCell ref="N176:O176"/>
    <mergeCell ref="B177:E177"/>
    <mergeCell ref="F177:H177"/>
    <mergeCell ref="J177:M177"/>
    <mergeCell ref="N177:O177"/>
    <mergeCell ref="B174:E174"/>
    <mergeCell ref="F174:H174"/>
    <mergeCell ref="J174:M174"/>
    <mergeCell ref="N174:O174"/>
    <mergeCell ref="B175:E175"/>
    <mergeCell ref="F175:H175"/>
    <mergeCell ref="J175:M175"/>
    <mergeCell ref="N175:O175"/>
    <mergeCell ref="B172:E172"/>
    <mergeCell ref="F172:H172"/>
    <mergeCell ref="J172:M172"/>
    <mergeCell ref="N172:O172"/>
    <mergeCell ref="B173:E173"/>
    <mergeCell ref="F173:H173"/>
    <mergeCell ref="J173:M173"/>
    <mergeCell ref="N173:O173"/>
    <mergeCell ref="B170:E170"/>
    <mergeCell ref="F170:H170"/>
    <mergeCell ref="J170:M170"/>
    <mergeCell ref="N170:O170"/>
    <mergeCell ref="B171:E171"/>
    <mergeCell ref="F171:H171"/>
    <mergeCell ref="J171:M171"/>
    <mergeCell ref="N171:O171"/>
    <mergeCell ref="B168:E168"/>
    <mergeCell ref="F168:H168"/>
    <mergeCell ref="J168:M168"/>
    <mergeCell ref="N168:O168"/>
    <mergeCell ref="B169:E169"/>
    <mergeCell ref="F169:H169"/>
    <mergeCell ref="J169:M169"/>
    <mergeCell ref="N169:O169"/>
    <mergeCell ref="B166:E166"/>
    <mergeCell ref="F166:H166"/>
    <mergeCell ref="J166:M166"/>
    <mergeCell ref="N166:O166"/>
    <mergeCell ref="B167:E167"/>
    <mergeCell ref="F167:H167"/>
    <mergeCell ref="J167:M167"/>
    <mergeCell ref="N167:O167"/>
    <mergeCell ref="B164:E164"/>
    <mergeCell ref="F164:H164"/>
    <mergeCell ref="J164:M164"/>
    <mergeCell ref="N164:O164"/>
    <mergeCell ref="B165:E165"/>
    <mergeCell ref="F165:H165"/>
    <mergeCell ref="J165:M165"/>
    <mergeCell ref="N165:O165"/>
    <mergeCell ref="B162:E162"/>
    <mergeCell ref="F162:H162"/>
    <mergeCell ref="J162:M162"/>
    <mergeCell ref="N162:O162"/>
    <mergeCell ref="B163:E163"/>
    <mergeCell ref="F163:H163"/>
    <mergeCell ref="J163:M163"/>
    <mergeCell ref="N163:O163"/>
    <mergeCell ref="O146:P146"/>
    <mergeCell ref="Q146:R146"/>
    <mergeCell ref="B149:O149"/>
    <mergeCell ref="B160:O160"/>
    <mergeCell ref="B161:E161"/>
    <mergeCell ref="F161:H161"/>
    <mergeCell ref="J161:M161"/>
    <mergeCell ref="N161:O161"/>
    <mergeCell ref="C146:D146"/>
    <mergeCell ref="E146:F146"/>
    <mergeCell ref="G146:H146"/>
    <mergeCell ref="I146:J146"/>
    <mergeCell ref="K146:L146"/>
    <mergeCell ref="M146:N146"/>
    <mergeCell ref="O144:P144"/>
    <mergeCell ref="Q144:R144"/>
    <mergeCell ref="C145:D145"/>
    <mergeCell ref="E145:F145"/>
    <mergeCell ref="G145:H145"/>
    <mergeCell ref="I145:J145"/>
    <mergeCell ref="K145:L145"/>
    <mergeCell ref="M145:N145"/>
    <mergeCell ref="O145:P145"/>
    <mergeCell ref="Q145:R145"/>
    <mergeCell ref="C144:D144"/>
    <mergeCell ref="E144:F144"/>
    <mergeCell ref="G144:H144"/>
    <mergeCell ref="I144:J144"/>
    <mergeCell ref="K144:L144"/>
    <mergeCell ref="M144:N144"/>
    <mergeCell ref="O142:P142"/>
    <mergeCell ref="Q142:R142"/>
    <mergeCell ref="C143:D143"/>
    <mergeCell ref="E143:F143"/>
    <mergeCell ref="G143:H143"/>
    <mergeCell ref="I143:J143"/>
    <mergeCell ref="K143:L143"/>
    <mergeCell ref="M143:N143"/>
    <mergeCell ref="O143:P143"/>
    <mergeCell ref="Q143:R143"/>
    <mergeCell ref="C142:D142"/>
    <mergeCell ref="E142:F142"/>
    <mergeCell ref="G142:H142"/>
    <mergeCell ref="I142:J142"/>
    <mergeCell ref="K142:L142"/>
    <mergeCell ref="M142:N142"/>
    <mergeCell ref="O140:P140"/>
    <mergeCell ref="Q140:R140"/>
    <mergeCell ref="C141:D141"/>
    <mergeCell ref="E141:F141"/>
    <mergeCell ref="G141:H141"/>
    <mergeCell ref="I141:J141"/>
    <mergeCell ref="K141:L141"/>
    <mergeCell ref="M141:N141"/>
    <mergeCell ref="O141:P141"/>
    <mergeCell ref="Q141:R141"/>
    <mergeCell ref="C140:D140"/>
    <mergeCell ref="E140:F140"/>
    <mergeCell ref="G140:H140"/>
    <mergeCell ref="I140:J140"/>
    <mergeCell ref="K140:L140"/>
    <mergeCell ref="M140:N140"/>
    <mergeCell ref="O138:P138"/>
    <mergeCell ref="Q138:R138"/>
    <mergeCell ref="C139:D139"/>
    <mergeCell ref="E139:F139"/>
    <mergeCell ref="G139:H139"/>
    <mergeCell ref="I139:J139"/>
    <mergeCell ref="K139:L139"/>
    <mergeCell ref="M139:N139"/>
    <mergeCell ref="O139:P139"/>
    <mergeCell ref="Q139:R139"/>
    <mergeCell ref="C138:D138"/>
    <mergeCell ref="E138:F138"/>
    <mergeCell ref="G138:H138"/>
    <mergeCell ref="I138:J138"/>
    <mergeCell ref="K138:L138"/>
    <mergeCell ref="M138:N138"/>
    <mergeCell ref="O136:P136"/>
    <mergeCell ref="Q136:R136"/>
    <mergeCell ref="C137:D137"/>
    <mergeCell ref="E137:F137"/>
    <mergeCell ref="G137:H137"/>
    <mergeCell ref="I137:J137"/>
    <mergeCell ref="K137:L137"/>
    <mergeCell ref="M137:N137"/>
    <mergeCell ref="O137:P137"/>
    <mergeCell ref="Q137:R137"/>
    <mergeCell ref="C136:D136"/>
    <mergeCell ref="E136:F136"/>
    <mergeCell ref="G136:H136"/>
    <mergeCell ref="I136:J136"/>
    <mergeCell ref="K136:L136"/>
    <mergeCell ref="M136:N136"/>
    <mergeCell ref="O134:P134"/>
    <mergeCell ref="Q134:R134"/>
    <mergeCell ref="C135:D135"/>
    <mergeCell ref="E135:F135"/>
    <mergeCell ref="G135:H135"/>
    <mergeCell ref="I135:J135"/>
    <mergeCell ref="K135:L135"/>
    <mergeCell ref="M135:N135"/>
    <mergeCell ref="O135:P135"/>
    <mergeCell ref="Q135:R135"/>
    <mergeCell ref="C134:D134"/>
    <mergeCell ref="E134:F134"/>
    <mergeCell ref="G134:H134"/>
    <mergeCell ref="I134:J134"/>
    <mergeCell ref="K134:L134"/>
    <mergeCell ref="M134:N134"/>
    <mergeCell ref="O132:P132"/>
    <mergeCell ref="Q132:R132"/>
    <mergeCell ref="C133:D133"/>
    <mergeCell ref="E133:F133"/>
    <mergeCell ref="G133:H133"/>
    <mergeCell ref="I133:J133"/>
    <mergeCell ref="K133:L133"/>
    <mergeCell ref="M133:N133"/>
    <mergeCell ref="O133:P133"/>
    <mergeCell ref="Q133:R133"/>
    <mergeCell ref="C132:D132"/>
    <mergeCell ref="E132:F132"/>
    <mergeCell ref="G132:H132"/>
    <mergeCell ref="I132:J132"/>
    <mergeCell ref="K132:L132"/>
    <mergeCell ref="M132:N132"/>
    <mergeCell ref="O130:P130"/>
    <mergeCell ref="Q130:R130"/>
    <mergeCell ref="C131:D131"/>
    <mergeCell ref="E131:F131"/>
    <mergeCell ref="G131:H131"/>
    <mergeCell ref="I131:J131"/>
    <mergeCell ref="K131:L131"/>
    <mergeCell ref="M131:N131"/>
    <mergeCell ref="O131:P131"/>
    <mergeCell ref="Q131:R131"/>
    <mergeCell ref="C130:D130"/>
    <mergeCell ref="E130:F130"/>
    <mergeCell ref="G130:H130"/>
    <mergeCell ref="I130:J130"/>
    <mergeCell ref="K130:L130"/>
    <mergeCell ref="M130:N130"/>
    <mergeCell ref="O128:P128"/>
    <mergeCell ref="Q128:R128"/>
    <mergeCell ref="C129:D129"/>
    <mergeCell ref="E129:F129"/>
    <mergeCell ref="G129:H129"/>
    <mergeCell ref="I129:J129"/>
    <mergeCell ref="K129:L129"/>
    <mergeCell ref="M129:N129"/>
    <mergeCell ref="O129:P129"/>
    <mergeCell ref="Q129:R129"/>
    <mergeCell ref="C128:D128"/>
    <mergeCell ref="E128:F128"/>
    <mergeCell ref="G128:H128"/>
    <mergeCell ref="I128:J128"/>
    <mergeCell ref="K128:L128"/>
    <mergeCell ref="M128:N128"/>
    <mergeCell ref="O126:P126"/>
    <mergeCell ref="Q126:R126"/>
    <mergeCell ref="C127:D127"/>
    <mergeCell ref="E127:F127"/>
    <mergeCell ref="G127:H127"/>
    <mergeCell ref="I127:J127"/>
    <mergeCell ref="K127:L127"/>
    <mergeCell ref="M127:N127"/>
    <mergeCell ref="O127:P127"/>
    <mergeCell ref="Q127:R127"/>
    <mergeCell ref="C126:D126"/>
    <mergeCell ref="E126:F126"/>
    <mergeCell ref="G126:H126"/>
    <mergeCell ref="I126:J126"/>
    <mergeCell ref="K126:L126"/>
    <mergeCell ref="M126:N126"/>
    <mergeCell ref="O124:P124"/>
    <mergeCell ref="Q124:R124"/>
    <mergeCell ref="C125:D125"/>
    <mergeCell ref="E125:F125"/>
    <mergeCell ref="G125:H125"/>
    <mergeCell ref="I125:J125"/>
    <mergeCell ref="K125:L125"/>
    <mergeCell ref="M125:N125"/>
    <mergeCell ref="O125:P125"/>
    <mergeCell ref="Q125:R125"/>
    <mergeCell ref="C124:D124"/>
    <mergeCell ref="E124:F124"/>
    <mergeCell ref="G124:H124"/>
    <mergeCell ref="I124:J124"/>
    <mergeCell ref="K124:L124"/>
    <mergeCell ref="M124:N124"/>
    <mergeCell ref="O122:P122"/>
    <mergeCell ref="Q122:R122"/>
    <mergeCell ref="C122:D122"/>
    <mergeCell ref="E122:F122"/>
    <mergeCell ref="G122:H122"/>
    <mergeCell ref="I122:J122"/>
    <mergeCell ref="K122:L122"/>
    <mergeCell ref="M122:N122"/>
    <mergeCell ref="C123:D123"/>
    <mergeCell ref="E123:F123"/>
    <mergeCell ref="G123:H123"/>
    <mergeCell ref="I123:J123"/>
    <mergeCell ref="K123:L123"/>
    <mergeCell ref="M123:N123"/>
    <mergeCell ref="O123:P123"/>
    <mergeCell ref="Q123:R123"/>
    <mergeCell ref="C121:D121"/>
    <mergeCell ref="E121:F121"/>
    <mergeCell ref="G121:H121"/>
    <mergeCell ref="I121:J121"/>
    <mergeCell ref="K121:L121"/>
    <mergeCell ref="M121:N121"/>
    <mergeCell ref="O121:P121"/>
    <mergeCell ref="Q121:R121"/>
    <mergeCell ref="O120:P120"/>
    <mergeCell ref="Q120:R120"/>
    <mergeCell ref="C120:D120"/>
    <mergeCell ref="E120:F120"/>
    <mergeCell ref="G120:H120"/>
    <mergeCell ref="I120:J120"/>
    <mergeCell ref="K120:L120"/>
    <mergeCell ref="M120:N120"/>
    <mergeCell ref="O118:P118"/>
    <mergeCell ref="Q118:R118"/>
    <mergeCell ref="C119:D119"/>
    <mergeCell ref="E119:F119"/>
    <mergeCell ref="G119:H119"/>
    <mergeCell ref="I119:J119"/>
    <mergeCell ref="K119:L119"/>
    <mergeCell ref="M119:N119"/>
    <mergeCell ref="O119:P119"/>
    <mergeCell ref="Q119:R119"/>
    <mergeCell ref="C118:D118"/>
    <mergeCell ref="E118:F118"/>
    <mergeCell ref="G118:H118"/>
    <mergeCell ref="I118:J118"/>
    <mergeCell ref="K118:L118"/>
    <mergeCell ref="M118:N118"/>
    <mergeCell ref="O116:P116"/>
    <mergeCell ref="Q116:R116"/>
    <mergeCell ref="C117:D117"/>
    <mergeCell ref="E117:F117"/>
    <mergeCell ref="G117:H117"/>
    <mergeCell ref="I117:J117"/>
    <mergeCell ref="K117:L117"/>
    <mergeCell ref="M117:N117"/>
    <mergeCell ref="O117:P117"/>
    <mergeCell ref="Q117:R117"/>
    <mergeCell ref="C116:D116"/>
    <mergeCell ref="E116:F116"/>
    <mergeCell ref="G116:H116"/>
    <mergeCell ref="I116:J116"/>
    <mergeCell ref="K116:L116"/>
    <mergeCell ref="M116:N116"/>
    <mergeCell ref="C115:D115"/>
    <mergeCell ref="E115:F115"/>
    <mergeCell ref="G115:H115"/>
    <mergeCell ref="I115:J115"/>
    <mergeCell ref="K115:L115"/>
    <mergeCell ref="M115:N115"/>
    <mergeCell ref="O115:P115"/>
    <mergeCell ref="Q115:R115"/>
    <mergeCell ref="C114:D114"/>
    <mergeCell ref="E114:F114"/>
    <mergeCell ref="G114:H114"/>
    <mergeCell ref="I114:J114"/>
    <mergeCell ref="K114:L114"/>
    <mergeCell ref="M114:N114"/>
    <mergeCell ref="C113:D113"/>
    <mergeCell ref="E113:F113"/>
    <mergeCell ref="G113:H113"/>
    <mergeCell ref="I113:J113"/>
    <mergeCell ref="K113:L113"/>
    <mergeCell ref="M113:N113"/>
    <mergeCell ref="O113:P113"/>
    <mergeCell ref="Q113:R113"/>
    <mergeCell ref="O114:P114"/>
    <mergeCell ref="Q114:R114"/>
    <mergeCell ref="B111:J111"/>
    <mergeCell ref="K111:R111"/>
    <mergeCell ref="C112:D112"/>
    <mergeCell ref="E112:F112"/>
    <mergeCell ref="G112:H112"/>
    <mergeCell ref="I112:J112"/>
    <mergeCell ref="K112:L112"/>
    <mergeCell ref="M112:N112"/>
    <mergeCell ref="O112:P112"/>
    <mergeCell ref="Q112:R112"/>
    <mergeCell ref="B71:T71"/>
    <mergeCell ref="C72:D72"/>
    <mergeCell ref="E72:F72"/>
    <mergeCell ref="G72:H72"/>
    <mergeCell ref="I72:J72"/>
    <mergeCell ref="K72:L72"/>
    <mergeCell ref="M72:N72"/>
    <mergeCell ref="O72:P72"/>
    <mergeCell ref="Q72:R72"/>
    <mergeCell ref="S72:T72"/>
    <mergeCell ref="B2:O2"/>
    <mergeCell ref="B31:T31"/>
    <mergeCell ref="C32:D32"/>
    <mergeCell ref="E32:F32"/>
    <mergeCell ref="G32:H32"/>
    <mergeCell ref="I32:J32"/>
    <mergeCell ref="K32:L32"/>
    <mergeCell ref="M32:N32"/>
    <mergeCell ref="O32:P32"/>
    <mergeCell ref="Q32:R32"/>
    <mergeCell ref="S32:T32"/>
    <mergeCell ref="C109:D109"/>
    <mergeCell ref="E109:F109"/>
    <mergeCell ref="G109:H109"/>
    <mergeCell ref="I109:J109"/>
    <mergeCell ref="K109:L109"/>
    <mergeCell ref="M109:N109"/>
    <mergeCell ref="O109:P109"/>
    <mergeCell ref="Q109:R109"/>
    <mergeCell ref="S109:T109"/>
  </mergeCells>
  <conditionalFormatting sqref="C116:K116 M116 O116 Q116 C119:K119 M119 O119 Q119 C122:K122 M122 O122 Q122 C125:K125 M125 O125 Q125 C128:K128 M128 O128 Q128 C131:K131 M131 O131 Q131 C134:K134 O134:R134 C137:R137 C140:R140 C143:R143 C146:R146">
    <cfRule type="containsErrors" dxfId="301" priority="5">
      <formula>ISERROR(C116)</formula>
    </cfRule>
  </conditionalFormatting>
  <conditionalFormatting sqref="C189:N198 C199:O199 C200:N208">
    <cfRule type="containsText" dxfId="300" priority="2" operator="containsText" text="NOK">
      <formula>NOT(ISERROR(SEARCH("NOK",C189)))</formula>
    </cfRule>
  </conditionalFormatting>
  <conditionalFormatting sqref="C210:O210">
    <cfRule type="containsText" dxfId="299" priority="1" operator="containsText" text="NOK">
      <formula>NOT(ISERROR(SEARCH("NOK",C210)))</formula>
    </cfRule>
  </conditionalFormatting>
  <conditionalFormatting sqref="C37:T37 C40:T40 C43:T43 C46:T46 C49:T49 C52:T52 C55:T55 C58:T58 C61:T61 C64:T64 C67:T67">
    <cfRule type="containsErrors" dxfId="298" priority="7">
      <formula>ISERROR(C37)</formula>
    </cfRule>
  </conditionalFormatting>
  <conditionalFormatting sqref="C77:T107">
    <cfRule type="containsErrors" dxfId="297" priority="3">
      <formula>ISERROR(C77)</formula>
    </cfRule>
  </conditionalFormatting>
  <conditionalFormatting sqref="O151:O153 C154:O154 O155:O158 C158:N158">
    <cfRule type="containsErrors" dxfId="296" priority="4">
      <formula>ISERROR(C151)</formula>
    </cfRule>
  </conditionalFormatting>
  <pageMargins left="0.7" right="0.7" top="0.75" bottom="0.75" header="0.3" footer="0.3"/>
  <pageSetup paperSize="9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T265"/>
  <sheetViews>
    <sheetView workbookViewId="0">
      <selection activeCell="B8" sqref="B8"/>
    </sheetView>
  </sheetViews>
  <sheetFormatPr defaultRowHeight="14.4" x14ac:dyDescent="0.3"/>
  <cols>
    <col min="1" max="1" width="11.6640625" bestFit="1" customWidth="1"/>
    <col min="2" max="4" width="15.5546875" customWidth="1"/>
    <col min="5" max="20" width="13.6640625" customWidth="1"/>
  </cols>
  <sheetData>
    <row r="2" spans="4:17" ht="21" x14ac:dyDescent="0.4">
      <c r="D2" s="652" t="s">
        <v>154</v>
      </c>
      <c r="E2" s="652"/>
      <c r="F2" s="652"/>
      <c r="G2" s="652"/>
      <c r="H2" s="652"/>
      <c r="I2" s="652"/>
      <c r="J2" s="652"/>
      <c r="K2" s="652"/>
      <c r="L2" s="652"/>
      <c r="M2" s="652"/>
      <c r="N2" s="652"/>
      <c r="O2" s="652"/>
      <c r="P2" s="652"/>
      <c r="Q2" s="652"/>
    </row>
    <row r="3" spans="4:17" x14ac:dyDescent="0.3">
      <c r="E3" s="2" t="s">
        <v>57</v>
      </c>
      <c r="F3" s="2" t="s">
        <v>58</v>
      </c>
      <c r="G3" s="2" t="s">
        <v>59</v>
      </c>
      <c r="H3" s="2" t="s">
        <v>2</v>
      </c>
      <c r="I3" s="2" t="s">
        <v>60</v>
      </c>
      <c r="J3" s="2" t="s">
        <v>61</v>
      </c>
      <c r="K3" s="2" t="s">
        <v>62</v>
      </c>
      <c r="L3" s="2" t="s">
        <v>63</v>
      </c>
      <c r="M3" s="2" t="s">
        <v>64</v>
      </c>
      <c r="N3" s="2" t="s">
        <v>65</v>
      </c>
      <c r="O3" s="2" t="s">
        <v>66</v>
      </c>
      <c r="P3" s="2" t="s">
        <v>67</v>
      </c>
      <c r="Q3" s="2" t="s">
        <v>14</v>
      </c>
    </row>
    <row r="4" spans="4:17" x14ac:dyDescent="0.3">
      <c r="D4" s="3" t="s">
        <v>69</v>
      </c>
      <c r="E4" s="4">
        <f>Serviço!C70</f>
        <v>288945</v>
      </c>
      <c r="F4" s="4">
        <f>Serviço!D70</f>
        <v>254163</v>
      </c>
      <c r="G4" s="4">
        <f>Serviço!E70</f>
        <v>280532</v>
      </c>
      <c r="H4" s="4">
        <f>Serviço!F70</f>
        <v>247258</v>
      </c>
      <c r="I4" s="4">
        <f>Serviço!G70</f>
        <v>251597</v>
      </c>
      <c r="J4" s="4">
        <f>Serviço!H70</f>
        <v>252397</v>
      </c>
      <c r="K4" s="4">
        <f>Serviço!I70</f>
        <v>268928</v>
      </c>
      <c r="L4" s="4">
        <f>Serviço!J70</f>
        <v>286413</v>
      </c>
      <c r="M4" s="4">
        <f>Serviço!K70</f>
        <v>246748</v>
      </c>
      <c r="N4" s="4">
        <f>Serviço!L70</f>
        <v>236241</v>
      </c>
      <c r="O4" s="4">
        <f>Serviço!M70</f>
        <v>236196</v>
      </c>
      <c r="P4" s="4">
        <f>Serviço!N70</f>
        <v>82979</v>
      </c>
      <c r="Q4" s="5">
        <f>SUM(E4:P4)</f>
        <v>2932397</v>
      </c>
    </row>
    <row r="5" spans="4:17" x14ac:dyDescent="0.3">
      <c r="D5" s="3" t="s">
        <v>70</v>
      </c>
      <c r="E5" s="4">
        <f>Serviço!C81</f>
        <v>157396</v>
      </c>
      <c r="F5" s="4">
        <f>Serviço!D81</f>
        <v>143160</v>
      </c>
      <c r="G5" s="4">
        <f>Serviço!E81</f>
        <v>153168</v>
      </c>
      <c r="H5" s="4">
        <f>Serviço!F81</f>
        <v>142879</v>
      </c>
      <c r="I5" s="4">
        <f>Serviço!G81</f>
        <v>161979</v>
      </c>
      <c r="J5" s="4">
        <f>Serviço!H81</f>
        <v>159094</v>
      </c>
      <c r="K5" s="4">
        <f>Serviço!I81</f>
        <v>165280</v>
      </c>
      <c r="L5" s="4">
        <f>Serviço!J81</f>
        <v>168534</v>
      </c>
      <c r="M5" s="4">
        <f>Serviço!K81</f>
        <v>155517</v>
      </c>
      <c r="N5" s="4">
        <f>Serviço!L81</f>
        <v>161680</v>
      </c>
      <c r="O5" s="4">
        <f>Serviço!M81</f>
        <v>162732</v>
      </c>
      <c r="P5" s="4">
        <f>Serviço!N81</f>
        <v>57366</v>
      </c>
      <c r="Q5" s="5">
        <f>SUM(E5:P5)</f>
        <v>1788785</v>
      </c>
    </row>
    <row r="6" spans="4:17" x14ac:dyDescent="0.3">
      <c r="D6" s="3" t="s">
        <v>155</v>
      </c>
      <c r="E6" s="4">
        <v>2584</v>
      </c>
      <c r="F6" s="6"/>
      <c r="G6" s="6"/>
      <c r="H6" s="6"/>
      <c r="I6" s="4"/>
      <c r="J6" s="4"/>
      <c r="K6" s="4"/>
      <c r="L6" s="4"/>
      <c r="M6" s="4"/>
      <c r="N6" s="4"/>
      <c r="O6" s="4"/>
      <c r="P6" s="4"/>
      <c r="Q6" s="5">
        <f t="shared" ref="Q6:Q11" si="0">SUM(E6:P6)</f>
        <v>2584</v>
      </c>
    </row>
    <row r="7" spans="4:17" x14ac:dyDescent="0.3">
      <c r="D7" s="3" t="s">
        <v>156</v>
      </c>
      <c r="E7" s="4">
        <v>2962</v>
      </c>
      <c r="F7" s="4"/>
      <c r="G7" s="4"/>
      <c r="H7" s="6"/>
      <c r="I7" s="4"/>
      <c r="J7" s="4"/>
      <c r="K7" s="4"/>
      <c r="L7" s="4"/>
      <c r="M7" s="4"/>
      <c r="N7" s="4"/>
      <c r="O7" s="4"/>
      <c r="P7" s="4"/>
      <c r="Q7" s="5">
        <f t="shared" si="0"/>
        <v>2962</v>
      </c>
    </row>
    <row r="8" spans="4:17" x14ac:dyDescent="0.3">
      <c r="D8" s="3" t="s">
        <v>157</v>
      </c>
      <c r="E8" s="4">
        <v>2648</v>
      </c>
      <c r="F8" s="4"/>
      <c r="G8" s="4"/>
      <c r="H8" s="6"/>
      <c r="I8" s="4"/>
      <c r="J8" s="4"/>
      <c r="K8" s="4"/>
      <c r="L8" s="4"/>
      <c r="M8" s="4"/>
      <c r="N8" s="4"/>
      <c r="O8" s="4"/>
      <c r="P8" s="4"/>
      <c r="Q8" s="5">
        <f t="shared" si="0"/>
        <v>2648</v>
      </c>
    </row>
    <row r="9" spans="4:17" x14ac:dyDescent="0.3">
      <c r="D9" s="3" t="s">
        <v>158</v>
      </c>
      <c r="E9" s="4">
        <v>1821</v>
      </c>
      <c r="F9" s="6"/>
      <c r="G9" s="6"/>
      <c r="H9" s="6"/>
      <c r="I9" s="4"/>
      <c r="J9" s="4"/>
      <c r="K9" s="4"/>
      <c r="L9" s="4"/>
      <c r="M9" s="4"/>
      <c r="N9" s="4"/>
      <c r="O9" s="4"/>
      <c r="P9" s="4"/>
      <c r="Q9" s="5">
        <f t="shared" si="0"/>
        <v>1821</v>
      </c>
    </row>
    <row r="10" spans="4:17" x14ac:dyDescent="0.3">
      <c r="D10" s="3" t="s">
        <v>159</v>
      </c>
      <c r="E10" s="4">
        <v>2132</v>
      </c>
      <c r="F10" s="4"/>
      <c r="G10" s="4"/>
      <c r="H10" s="6"/>
      <c r="I10" s="4"/>
      <c r="J10" s="4"/>
      <c r="K10" s="4"/>
      <c r="L10" s="4"/>
      <c r="M10" s="4"/>
      <c r="N10" s="4"/>
      <c r="O10" s="4"/>
      <c r="P10" s="4"/>
      <c r="Q10" s="5">
        <f t="shared" si="0"/>
        <v>2132</v>
      </c>
    </row>
    <row r="11" spans="4:17" x14ac:dyDescent="0.3">
      <c r="D11" s="3" t="s">
        <v>160</v>
      </c>
      <c r="E11" s="4">
        <v>790</v>
      </c>
      <c r="F11" s="4"/>
      <c r="G11" s="4"/>
      <c r="H11" s="6"/>
      <c r="I11" s="4"/>
      <c r="J11" s="4"/>
      <c r="K11" s="4"/>
      <c r="L11" s="4"/>
      <c r="M11" s="4"/>
      <c r="N11" s="4"/>
      <c r="O11" s="4"/>
      <c r="P11" s="4"/>
      <c r="Q11" s="5">
        <f t="shared" si="0"/>
        <v>790</v>
      </c>
    </row>
    <row r="31" spans="3:17" x14ac:dyDescent="0.3">
      <c r="C31" s="1"/>
      <c r="D31" s="664" t="s">
        <v>161</v>
      </c>
      <c r="E31" s="664"/>
      <c r="F31" s="664"/>
      <c r="G31" s="664"/>
      <c r="H31" s="664"/>
      <c r="I31" s="664"/>
      <c r="J31" s="664"/>
      <c r="K31" s="664"/>
      <c r="L31" s="664"/>
      <c r="M31" s="664"/>
      <c r="N31" s="664"/>
      <c r="O31" s="664"/>
      <c r="P31" s="664"/>
      <c r="Q31" s="664"/>
    </row>
    <row r="32" spans="3:17" x14ac:dyDescent="0.3">
      <c r="C32" s="1"/>
      <c r="E32" s="2" t="s">
        <v>57</v>
      </c>
      <c r="F32" s="2" t="s">
        <v>58</v>
      </c>
      <c r="G32" s="2" t="s">
        <v>59</v>
      </c>
      <c r="H32" s="2" t="s">
        <v>2</v>
      </c>
      <c r="I32" s="2" t="s">
        <v>60</v>
      </c>
      <c r="J32" s="2" t="s">
        <v>61</v>
      </c>
      <c r="K32" s="2" t="s">
        <v>62</v>
      </c>
      <c r="L32" s="2" t="s">
        <v>63</v>
      </c>
      <c r="M32" s="2" t="s">
        <v>64</v>
      </c>
      <c r="N32" s="2" t="s">
        <v>65</v>
      </c>
      <c r="O32" s="2" t="s">
        <v>66</v>
      </c>
      <c r="P32" s="2" t="s">
        <v>67</v>
      </c>
      <c r="Q32" s="2" t="s">
        <v>14</v>
      </c>
    </row>
    <row r="33" spans="3:17" x14ac:dyDescent="0.3">
      <c r="C33" s="1"/>
      <c r="D33" s="3" t="s">
        <v>162</v>
      </c>
      <c r="E33" s="4">
        <v>118</v>
      </c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5">
        <f t="shared" ref="Q33:Q38" si="1">SUM(E33:P33)</f>
        <v>118</v>
      </c>
    </row>
    <row r="34" spans="3:17" x14ac:dyDescent="0.3">
      <c r="C34" s="1"/>
      <c r="D34" s="3" t="s">
        <v>163</v>
      </c>
      <c r="E34" s="4">
        <v>1478</v>
      </c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5">
        <f t="shared" si="1"/>
        <v>1478</v>
      </c>
    </row>
    <row r="35" spans="3:17" x14ac:dyDescent="0.3">
      <c r="C35" s="1"/>
      <c r="D35" s="3" t="s">
        <v>164</v>
      </c>
      <c r="E35" s="4">
        <v>128</v>
      </c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5">
        <f t="shared" si="1"/>
        <v>128</v>
      </c>
    </row>
    <row r="36" spans="3:17" x14ac:dyDescent="0.3">
      <c r="C36" s="321"/>
      <c r="D36" s="3" t="s">
        <v>165</v>
      </c>
      <c r="E36" s="4">
        <v>1135</v>
      </c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5">
        <f t="shared" si="1"/>
        <v>1135</v>
      </c>
    </row>
    <row r="37" spans="3:17" x14ac:dyDescent="0.3">
      <c r="C37" s="222" t="s">
        <v>218</v>
      </c>
      <c r="D37" s="3" t="s">
        <v>248</v>
      </c>
      <c r="E37" s="42">
        <f>27283-27548</f>
        <v>-265</v>
      </c>
      <c r="F37" s="42"/>
      <c r="G37" s="42"/>
      <c r="H37" s="42"/>
      <c r="I37" s="42"/>
      <c r="J37" s="42"/>
      <c r="K37" s="42"/>
      <c r="L37" s="42"/>
      <c r="M37" s="42"/>
      <c r="N37" s="42"/>
      <c r="O37" s="42"/>
      <c r="P37" s="42"/>
      <c r="Q37" s="5">
        <f t="shared" si="1"/>
        <v>-265</v>
      </c>
    </row>
    <row r="38" spans="3:17" x14ac:dyDescent="0.3">
      <c r="C38" s="320" t="s">
        <v>250</v>
      </c>
      <c r="D38" s="3" t="s">
        <v>249</v>
      </c>
      <c r="E38" s="42">
        <f>21033-20809</f>
        <v>224</v>
      </c>
      <c r="F38" s="42"/>
      <c r="G38" s="42"/>
      <c r="H38" s="42"/>
      <c r="I38" s="42"/>
      <c r="J38" s="42"/>
      <c r="K38" s="42"/>
      <c r="L38" s="42"/>
      <c r="M38" s="42"/>
      <c r="N38" s="42"/>
      <c r="O38" s="42"/>
      <c r="P38" s="42"/>
      <c r="Q38" s="5">
        <f t="shared" si="1"/>
        <v>224</v>
      </c>
    </row>
    <row r="56" spans="1:20" ht="15" thickBot="1" x14ac:dyDescent="0.35">
      <c r="A56" s="666" t="s">
        <v>166</v>
      </c>
      <c r="B56" s="666"/>
      <c r="C56" s="666"/>
      <c r="D56" s="666"/>
      <c r="E56" s="666"/>
      <c r="F56" s="666"/>
      <c r="G56" s="666"/>
      <c r="H56" s="666"/>
      <c r="I56" s="666"/>
      <c r="J56" s="666"/>
      <c r="K56" s="666"/>
      <c r="L56" s="666"/>
      <c r="M56" s="666"/>
      <c r="N56" s="666"/>
      <c r="O56" s="666"/>
      <c r="P56" s="666"/>
      <c r="Q56" s="666"/>
      <c r="R56" s="666"/>
      <c r="S56" s="666"/>
      <c r="T56" s="1"/>
    </row>
    <row r="57" spans="1:20" ht="15" thickBot="1" x14ac:dyDescent="0.35">
      <c r="A57" s="7"/>
      <c r="B57" s="8"/>
      <c r="C57" s="743" t="s">
        <v>167</v>
      </c>
      <c r="D57" s="738"/>
      <c r="E57" s="737" t="s">
        <v>168</v>
      </c>
      <c r="F57" s="738"/>
      <c r="G57" s="737" t="s">
        <v>169</v>
      </c>
      <c r="H57" s="738"/>
      <c r="I57" s="737" t="s">
        <v>170</v>
      </c>
      <c r="J57" s="738"/>
      <c r="K57" s="737" t="s">
        <v>171</v>
      </c>
      <c r="L57" s="738"/>
      <c r="M57" s="737" t="s">
        <v>172</v>
      </c>
      <c r="N57" s="738"/>
      <c r="O57" s="737" t="s">
        <v>173</v>
      </c>
      <c r="P57" s="738"/>
      <c r="Q57" s="737" t="s">
        <v>174</v>
      </c>
      <c r="R57" s="738"/>
      <c r="S57" s="737" t="s">
        <v>175</v>
      </c>
      <c r="T57" s="739"/>
    </row>
    <row r="58" spans="1:20" ht="15" thickBot="1" x14ac:dyDescent="0.35">
      <c r="A58" s="9"/>
      <c r="B58" s="10"/>
      <c r="C58" s="11" t="s">
        <v>176</v>
      </c>
      <c r="D58" s="12" t="s">
        <v>177</v>
      </c>
      <c r="E58" s="12" t="s">
        <v>176</v>
      </c>
      <c r="F58" s="12" t="s">
        <v>177</v>
      </c>
      <c r="G58" s="12" t="s">
        <v>176</v>
      </c>
      <c r="H58" s="12" t="s">
        <v>177</v>
      </c>
      <c r="I58" s="12" t="s">
        <v>176</v>
      </c>
      <c r="J58" s="12" t="s">
        <v>177</v>
      </c>
      <c r="K58" s="12" t="s">
        <v>176</v>
      </c>
      <c r="L58" s="12" t="s">
        <v>177</v>
      </c>
      <c r="M58" s="12" t="s">
        <v>176</v>
      </c>
      <c r="N58" s="12" t="s">
        <v>177</v>
      </c>
      <c r="O58" s="12" t="s">
        <v>176</v>
      </c>
      <c r="P58" s="12" t="s">
        <v>177</v>
      </c>
      <c r="Q58" s="12" t="s">
        <v>176</v>
      </c>
      <c r="R58" s="12" t="s">
        <v>177</v>
      </c>
      <c r="S58" s="12" t="s">
        <v>176</v>
      </c>
      <c r="T58" s="12" t="s">
        <v>177</v>
      </c>
    </row>
    <row r="59" spans="1:20" x14ac:dyDescent="0.3">
      <c r="A59" s="740" t="s">
        <v>57</v>
      </c>
      <c r="B59" s="13" t="s">
        <v>3</v>
      </c>
      <c r="C59" s="14">
        <v>-37</v>
      </c>
      <c r="D59" s="15"/>
      <c r="E59" s="14">
        <v>-1</v>
      </c>
      <c r="F59" s="15"/>
      <c r="G59" s="167">
        <v>6</v>
      </c>
      <c r="H59" s="15"/>
      <c r="I59" s="167">
        <v>-35</v>
      </c>
      <c r="J59" s="15"/>
      <c r="K59" s="167">
        <v>-3</v>
      </c>
      <c r="L59" s="15"/>
      <c r="M59" s="167">
        <v>-3</v>
      </c>
      <c r="N59" s="15"/>
      <c r="O59" s="167">
        <v>-13</v>
      </c>
      <c r="P59" s="15"/>
      <c r="Q59" s="167">
        <v>-4</v>
      </c>
      <c r="R59" s="15"/>
      <c r="S59" s="167">
        <v>-2</v>
      </c>
      <c r="T59" s="16"/>
    </row>
    <row r="60" spans="1:20" ht="15" thickBot="1" x14ac:dyDescent="0.35">
      <c r="A60" s="741"/>
      <c r="B60" s="17" t="s">
        <v>10</v>
      </c>
      <c r="C60" s="165">
        <v>-57</v>
      </c>
      <c r="D60" s="18"/>
      <c r="E60" s="165">
        <v>-1</v>
      </c>
      <c r="F60" s="18"/>
      <c r="G60" s="166">
        <v>0</v>
      </c>
      <c r="H60" s="18"/>
      <c r="I60" s="166">
        <v>-24</v>
      </c>
      <c r="J60" s="18"/>
      <c r="K60" s="166">
        <v>-1</v>
      </c>
      <c r="L60" s="18"/>
      <c r="M60" s="166">
        <v>-1</v>
      </c>
      <c r="N60" s="18"/>
      <c r="O60" s="166">
        <v>-351</v>
      </c>
      <c r="P60" s="18"/>
      <c r="Q60" s="166">
        <v>-5</v>
      </c>
      <c r="R60" s="18"/>
      <c r="S60" s="166">
        <v>-1</v>
      </c>
      <c r="T60" s="19"/>
    </row>
    <row r="61" spans="1:20" x14ac:dyDescent="0.3">
      <c r="A61" s="742" t="s">
        <v>58</v>
      </c>
      <c r="B61" s="20" t="s">
        <v>3</v>
      </c>
      <c r="C61" s="14">
        <v>-51</v>
      </c>
      <c r="D61" s="21">
        <f t="shared" ref="D61:D82" si="2">(C61-C59)/C59</f>
        <v>0.3783783783783784</v>
      </c>
      <c r="E61" s="14">
        <v>-1</v>
      </c>
      <c r="F61" s="21">
        <f t="shared" ref="F61:F82" si="3">(E61-E59)/E59</f>
        <v>0</v>
      </c>
      <c r="G61" s="167">
        <v>-1</v>
      </c>
      <c r="H61" s="21">
        <f t="shared" ref="H61:H82" si="4">(G61-G59)/G59</f>
        <v>-1.1666666666666667</v>
      </c>
      <c r="I61" s="167">
        <v>-45</v>
      </c>
      <c r="J61" s="21">
        <f t="shared" ref="J61:J82" si="5">(I61-I59)/I59</f>
        <v>0.2857142857142857</v>
      </c>
      <c r="K61" s="167">
        <v>-3</v>
      </c>
      <c r="L61" s="21">
        <f t="shared" ref="L61:L82" si="6">(K61-K59)/K59</f>
        <v>0</v>
      </c>
      <c r="M61" s="167">
        <v>-3</v>
      </c>
      <c r="N61" s="21">
        <f t="shared" ref="N61:N82" si="7">(M61-M59)/M59</f>
        <v>0</v>
      </c>
      <c r="O61" s="167">
        <v>-260</v>
      </c>
      <c r="P61" s="21">
        <f t="shared" ref="P61:P82" si="8">(O61-O59)/O59</f>
        <v>19</v>
      </c>
      <c r="Q61" s="167">
        <v>-7</v>
      </c>
      <c r="R61" s="21">
        <f t="shared" ref="R61:R82" si="9">(Q61-Q59)/Q59</f>
        <v>0.75</v>
      </c>
      <c r="S61" s="167">
        <v>-3</v>
      </c>
      <c r="T61" s="22">
        <f t="shared" ref="T61:T82" si="10">(S61-S59)/S59</f>
        <v>0.5</v>
      </c>
    </row>
    <row r="62" spans="1:20" ht="15" thickBot="1" x14ac:dyDescent="0.35">
      <c r="A62" s="741"/>
      <c r="B62" s="17" t="s">
        <v>10</v>
      </c>
      <c r="C62" s="165">
        <v>-122</v>
      </c>
      <c r="D62" s="23">
        <f t="shared" si="2"/>
        <v>1.1403508771929824</v>
      </c>
      <c r="E62" s="166">
        <v>-1</v>
      </c>
      <c r="F62" s="23">
        <f t="shared" si="3"/>
        <v>0</v>
      </c>
      <c r="G62" s="166">
        <v>1</v>
      </c>
      <c r="H62" s="23" t="e">
        <f t="shared" si="4"/>
        <v>#DIV/0!</v>
      </c>
      <c r="I62" s="166">
        <v>5</v>
      </c>
      <c r="J62" s="23">
        <f t="shared" si="5"/>
        <v>-1.2083333333333333</v>
      </c>
      <c r="K62" s="166">
        <v>0</v>
      </c>
      <c r="L62" s="23">
        <f t="shared" si="6"/>
        <v>-1</v>
      </c>
      <c r="M62" s="166">
        <v>0</v>
      </c>
      <c r="N62" s="23">
        <f t="shared" si="7"/>
        <v>-1</v>
      </c>
      <c r="O62" s="166">
        <v>106</v>
      </c>
      <c r="P62" s="23">
        <f t="shared" si="8"/>
        <v>-1.3019943019943019</v>
      </c>
      <c r="Q62" s="166">
        <v>1</v>
      </c>
      <c r="R62" s="23">
        <f t="shared" si="9"/>
        <v>-1.2</v>
      </c>
      <c r="S62" s="166">
        <v>0</v>
      </c>
      <c r="T62" s="24">
        <f t="shared" si="10"/>
        <v>-1</v>
      </c>
    </row>
    <row r="63" spans="1:20" x14ac:dyDescent="0.3">
      <c r="A63" s="742" t="s">
        <v>59</v>
      </c>
      <c r="B63" s="20" t="s">
        <v>3</v>
      </c>
      <c r="C63" s="14"/>
      <c r="D63" s="21">
        <f t="shared" si="2"/>
        <v>-1</v>
      </c>
      <c r="E63" s="14"/>
      <c r="F63" s="21">
        <f t="shared" si="3"/>
        <v>-1</v>
      </c>
      <c r="G63" s="167"/>
      <c r="H63" s="21">
        <f t="shared" si="4"/>
        <v>-1</v>
      </c>
      <c r="I63" s="167"/>
      <c r="J63" s="21">
        <f t="shared" si="5"/>
        <v>-1</v>
      </c>
      <c r="K63" s="167"/>
      <c r="L63" s="21">
        <f t="shared" si="6"/>
        <v>-1</v>
      </c>
      <c r="M63" s="167"/>
      <c r="N63" s="21">
        <f t="shared" si="7"/>
        <v>-1</v>
      </c>
      <c r="O63" s="167"/>
      <c r="P63" s="21">
        <f t="shared" si="8"/>
        <v>-1</v>
      </c>
      <c r="Q63" s="167"/>
      <c r="R63" s="21">
        <f t="shared" si="9"/>
        <v>-1</v>
      </c>
      <c r="S63" s="167"/>
      <c r="T63" s="22">
        <f t="shared" si="10"/>
        <v>-1</v>
      </c>
    </row>
    <row r="64" spans="1:20" ht="15" thickBot="1" x14ac:dyDescent="0.35">
      <c r="A64" s="741"/>
      <c r="B64" s="17" t="s">
        <v>10</v>
      </c>
      <c r="C64" s="165"/>
      <c r="D64" s="23">
        <f t="shared" si="2"/>
        <v>-1</v>
      </c>
      <c r="E64" s="166"/>
      <c r="F64" s="23">
        <f t="shared" si="3"/>
        <v>-1</v>
      </c>
      <c r="G64" s="166"/>
      <c r="H64" s="23">
        <f t="shared" si="4"/>
        <v>-1</v>
      </c>
      <c r="I64" s="166"/>
      <c r="J64" s="23">
        <f t="shared" si="5"/>
        <v>-1</v>
      </c>
      <c r="K64" s="166"/>
      <c r="L64" s="23" t="e">
        <f t="shared" si="6"/>
        <v>#DIV/0!</v>
      </c>
      <c r="M64" s="166"/>
      <c r="N64" s="23" t="e">
        <f t="shared" si="7"/>
        <v>#DIV/0!</v>
      </c>
      <c r="O64" s="166"/>
      <c r="P64" s="23">
        <f t="shared" si="8"/>
        <v>-1</v>
      </c>
      <c r="Q64" s="166"/>
      <c r="R64" s="23">
        <f t="shared" si="9"/>
        <v>-1</v>
      </c>
      <c r="S64" s="166"/>
      <c r="T64" s="24" t="e">
        <f t="shared" si="10"/>
        <v>#DIV/0!</v>
      </c>
    </row>
    <row r="65" spans="1:20" x14ac:dyDescent="0.3">
      <c r="A65" s="742" t="s">
        <v>2</v>
      </c>
      <c r="B65" s="20" t="s">
        <v>3</v>
      </c>
      <c r="C65" s="14"/>
      <c r="D65" s="21" t="e">
        <f t="shared" si="2"/>
        <v>#DIV/0!</v>
      </c>
      <c r="E65" s="14"/>
      <c r="F65" s="21" t="e">
        <f t="shared" si="3"/>
        <v>#DIV/0!</v>
      </c>
      <c r="G65" s="167"/>
      <c r="H65" s="21" t="e">
        <f t="shared" si="4"/>
        <v>#DIV/0!</v>
      </c>
      <c r="I65" s="167"/>
      <c r="J65" s="21" t="e">
        <f t="shared" si="5"/>
        <v>#DIV/0!</v>
      </c>
      <c r="K65" s="167"/>
      <c r="L65" s="21" t="e">
        <f t="shared" si="6"/>
        <v>#DIV/0!</v>
      </c>
      <c r="M65" s="167"/>
      <c r="N65" s="21" t="e">
        <f t="shared" si="7"/>
        <v>#DIV/0!</v>
      </c>
      <c r="O65" s="167"/>
      <c r="P65" s="21" t="e">
        <f t="shared" si="8"/>
        <v>#DIV/0!</v>
      </c>
      <c r="Q65" s="167"/>
      <c r="R65" s="21" t="e">
        <f t="shared" si="9"/>
        <v>#DIV/0!</v>
      </c>
      <c r="S65" s="167"/>
      <c r="T65" s="22" t="e">
        <f t="shared" si="10"/>
        <v>#DIV/0!</v>
      </c>
    </row>
    <row r="66" spans="1:20" ht="15" thickBot="1" x14ac:dyDescent="0.35">
      <c r="A66" s="741"/>
      <c r="B66" s="17" t="s">
        <v>10</v>
      </c>
      <c r="C66" s="165"/>
      <c r="D66" s="23" t="e">
        <f t="shared" si="2"/>
        <v>#DIV/0!</v>
      </c>
      <c r="E66" s="166"/>
      <c r="F66" s="23" t="e">
        <f t="shared" si="3"/>
        <v>#DIV/0!</v>
      </c>
      <c r="G66" s="166"/>
      <c r="H66" s="23" t="e">
        <f t="shared" si="4"/>
        <v>#DIV/0!</v>
      </c>
      <c r="I66" s="166"/>
      <c r="J66" s="23" t="e">
        <f t="shared" si="5"/>
        <v>#DIV/0!</v>
      </c>
      <c r="K66" s="166"/>
      <c r="L66" s="23" t="e">
        <f t="shared" si="6"/>
        <v>#DIV/0!</v>
      </c>
      <c r="M66" s="166"/>
      <c r="N66" s="23" t="e">
        <f t="shared" si="7"/>
        <v>#DIV/0!</v>
      </c>
      <c r="O66" s="166"/>
      <c r="P66" s="23" t="e">
        <f t="shared" si="8"/>
        <v>#DIV/0!</v>
      </c>
      <c r="Q66" s="166"/>
      <c r="R66" s="23" t="e">
        <f t="shared" si="9"/>
        <v>#DIV/0!</v>
      </c>
      <c r="S66" s="166"/>
      <c r="T66" s="24" t="e">
        <f t="shared" si="10"/>
        <v>#DIV/0!</v>
      </c>
    </row>
    <row r="67" spans="1:20" x14ac:dyDescent="0.3">
      <c r="A67" s="742" t="s">
        <v>60</v>
      </c>
      <c r="B67" s="20" t="s">
        <v>3</v>
      </c>
      <c r="C67" s="14"/>
      <c r="D67" s="21" t="e">
        <f t="shared" si="2"/>
        <v>#DIV/0!</v>
      </c>
      <c r="E67" s="14"/>
      <c r="F67" s="21" t="e">
        <f t="shared" si="3"/>
        <v>#DIV/0!</v>
      </c>
      <c r="G67" s="167"/>
      <c r="H67" s="21" t="e">
        <f t="shared" si="4"/>
        <v>#DIV/0!</v>
      </c>
      <c r="I67" s="167"/>
      <c r="J67" s="21" t="e">
        <f t="shared" si="5"/>
        <v>#DIV/0!</v>
      </c>
      <c r="K67" s="167"/>
      <c r="L67" s="21" t="e">
        <f t="shared" si="6"/>
        <v>#DIV/0!</v>
      </c>
      <c r="M67" s="167"/>
      <c r="N67" s="21" t="e">
        <f t="shared" si="7"/>
        <v>#DIV/0!</v>
      </c>
      <c r="O67" s="167"/>
      <c r="P67" s="21" t="e">
        <f t="shared" si="8"/>
        <v>#DIV/0!</v>
      </c>
      <c r="Q67" s="167"/>
      <c r="R67" s="21" t="e">
        <f t="shared" si="9"/>
        <v>#DIV/0!</v>
      </c>
      <c r="S67" s="167"/>
      <c r="T67" s="22" t="e">
        <f t="shared" si="10"/>
        <v>#DIV/0!</v>
      </c>
    </row>
    <row r="68" spans="1:20" ht="15" thickBot="1" x14ac:dyDescent="0.35">
      <c r="A68" s="741"/>
      <c r="B68" s="17" t="s">
        <v>10</v>
      </c>
      <c r="C68" s="165"/>
      <c r="D68" s="23" t="e">
        <f t="shared" si="2"/>
        <v>#DIV/0!</v>
      </c>
      <c r="E68" s="166"/>
      <c r="F68" s="23" t="e">
        <f t="shared" si="3"/>
        <v>#DIV/0!</v>
      </c>
      <c r="G68" s="166"/>
      <c r="H68" s="23" t="e">
        <f t="shared" si="4"/>
        <v>#DIV/0!</v>
      </c>
      <c r="I68" s="166"/>
      <c r="J68" s="23" t="e">
        <f t="shared" si="5"/>
        <v>#DIV/0!</v>
      </c>
      <c r="K68" s="166"/>
      <c r="L68" s="23" t="e">
        <f t="shared" si="6"/>
        <v>#DIV/0!</v>
      </c>
      <c r="M68" s="166"/>
      <c r="N68" s="23" t="e">
        <f t="shared" si="7"/>
        <v>#DIV/0!</v>
      </c>
      <c r="O68" s="166"/>
      <c r="P68" s="23" t="e">
        <f t="shared" si="8"/>
        <v>#DIV/0!</v>
      </c>
      <c r="Q68" s="166"/>
      <c r="R68" s="23" t="e">
        <f t="shared" si="9"/>
        <v>#DIV/0!</v>
      </c>
      <c r="S68" s="166"/>
      <c r="T68" s="24" t="e">
        <f t="shared" si="10"/>
        <v>#DIV/0!</v>
      </c>
    </row>
    <row r="69" spans="1:20" x14ac:dyDescent="0.3">
      <c r="A69" s="742" t="s">
        <v>61</v>
      </c>
      <c r="B69" s="20" t="s">
        <v>3</v>
      </c>
      <c r="C69" s="14"/>
      <c r="D69" s="21" t="e">
        <f t="shared" si="2"/>
        <v>#DIV/0!</v>
      </c>
      <c r="E69" s="14"/>
      <c r="F69" s="21" t="e">
        <f t="shared" si="3"/>
        <v>#DIV/0!</v>
      </c>
      <c r="G69" s="167"/>
      <c r="H69" s="21" t="e">
        <f t="shared" si="4"/>
        <v>#DIV/0!</v>
      </c>
      <c r="I69" s="167"/>
      <c r="J69" s="21" t="e">
        <f t="shared" si="5"/>
        <v>#DIV/0!</v>
      </c>
      <c r="K69" s="167"/>
      <c r="L69" s="21" t="e">
        <f t="shared" si="6"/>
        <v>#DIV/0!</v>
      </c>
      <c r="M69" s="167"/>
      <c r="N69" s="21" t="e">
        <f t="shared" si="7"/>
        <v>#DIV/0!</v>
      </c>
      <c r="O69" s="167"/>
      <c r="P69" s="21" t="e">
        <f t="shared" si="8"/>
        <v>#DIV/0!</v>
      </c>
      <c r="Q69" s="167"/>
      <c r="R69" s="21" t="e">
        <f t="shared" si="9"/>
        <v>#DIV/0!</v>
      </c>
      <c r="S69" s="167"/>
      <c r="T69" s="22" t="e">
        <f t="shared" si="10"/>
        <v>#DIV/0!</v>
      </c>
    </row>
    <row r="70" spans="1:20" ht="15" thickBot="1" x14ac:dyDescent="0.35">
      <c r="A70" s="741"/>
      <c r="B70" s="17" t="s">
        <v>10</v>
      </c>
      <c r="C70" s="165"/>
      <c r="D70" s="23" t="e">
        <f t="shared" si="2"/>
        <v>#DIV/0!</v>
      </c>
      <c r="E70" s="166"/>
      <c r="F70" s="23" t="e">
        <f t="shared" si="3"/>
        <v>#DIV/0!</v>
      </c>
      <c r="G70" s="166"/>
      <c r="H70" s="23" t="e">
        <f t="shared" si="4"/>
        <v>#DIV/0!</v>
      </c>
      <c r="I70" s="166"/>
      <c r="J70" s="23" t="e">
        <f t="shared" si="5"/>
        <v>#DIV/0!</v>
      </c>
      <c r="K70" s="166"/>
      <c r="L70" s="23" t="e">
        <f t="shared" si="6"/>
        <v>#DIV/0!</v>
      </c>
      <c r="M70" s="166"/>
      <c r="N70" s="23" t="e">
        <f t="shared" si="7"/>
        <v>#DIV/0!</v>
      </c>
      <c r="O70" s="166"/>
      <c r="P70" s="23" t="e">
        <f t="shared" si="8"/>
        <v>#DIV/0!</v>
      </c>
      <c r="Q70" s="166"/>
      <c r="R70" s="23" t="e">
        <f t="shared" si="9"/>
        <v>#DIV/0!</v>
      </c>
      <c r="S70" s="166"/>
      <c r="T70" s="24" t="e">
        <f t="shared" si="10"/>
        <v>#DIV/0!</v>
      </c>
    </row>
    <row r="71" spans="1:20" x14ac:dyDescent="0.3">
      <c r="A71" s="742" t="s">
        <v>62</v>
      </c>
      <c r="B71" s="20" t="s">
        <v>3</v>
      </c>
      <c r="C71" s="14"/>
      <c r="D71" s="21" t="e">
        <f t="shared" si="2"/>
        <v>#DIV/0!</v>
      </c>
      <c r="E71" s="14"/>
      <c r="F71" s="21" t="e">
        <f t="shared" si="3"/>
        <v>#DIV/0!</v>
      </c>
      <c r="G71" s="167"/>
      <c r="H71" s="21" t="e">
        <f t="shared" si="4"/>
        <v>#DIV/0!</v>
      </c>
      <c r="I71" s="167"/>
      <c r="J71" s="21" t="e">
        <f t="shared" si="5"/>
        <v>#DIV/0!</v>
      </c>
      <c r="K71" s="167"/>
      <c r="L71" s="21" t="e">
        <f t="shared" si="6"/>
        <v>#DIV/0!</v>
      </c>
      <c r="M71" s="167"/>
      <c r="N71" s="21" t="e">
        <f t="shared" si="7"/>
        <v>#DIV/0!</v>
      </c>
      <c r="O71" s="167"/>
      <c r="P71" s="21" t="e">
        <f t="shared" si="8"/>
        <v>#DIV/0!</v>
      </c>
      <c r="Q71" s="167"/>
      <c r="R71" s="21" t="e">
        <f t="shared" si="9"/>
        <v>#DIV/0!</v>
      </c>
      <c r="S71" s="167"/>
      <c r="T71" s="22" t="e">
        <f t="shared" si="10"/>
        <v>#DIV/0!</v>
      </c>
    </row>
    <row r="72" spans="1:20" ht="15" thickBot="1" x14ac:dyDescent="0.35">
      <c r="A72" s="741"/>
      <c r="B72" s="17" t="s">
        <v>10</v>
      </c>
      <c r="C72" s="165"/>
      <c r="D72" s="23" t="e">
        <f t="shared" si="2"/>
        <v>#DIV/0!</v>
      </c>
      <c r="E72" s="166"/>
      <c r="F72" s="23" t="e">
        <f t="shared" si="3"/>
        <v>#DIV/0!</v>
      </c>
      <c r="G72" s="166"/>
      <c r="H72" s="23" t="e">
        <f t="shared" si="4"/>
        <v>#DIV/0!</v>
      </c>
      <c r="I72" s="166"/>
      <c r="J72" s="23" t="e">
        <f t="shared" si="5"/>
        <v>#DIV/0!</v>
      </c>
      <c r="K72" s="166"/>
      <c r="L72" s="23" t="e">
        <f t="shared" si="6"/>
        <v>#DIV/0!</v>
      </c>
      <c r="M72" s="166"/>
      <c r="N72" s="23" t="e">
        <f t="shared" si="7"/>
        <v>#DIV/0!</v>
      </c>
      <c r="O72" s="166"/>
      <c r="P72" s="23" t="e">
        <f t="shared" si="8"/>
        <v>#DIV/0!</v>
      </c>
      <c r="Q72" s="166"/>
      <c r="R72" s="23" t="e">
        <f t="shared" si="9"/>
        <v>#DIV/0!</v>
      </c>
      <c r="S72" s="166"/>
      <c r="T72" s="24" t="e">
        <f t="shared" si="10"/>
        <v>#DIV/0!</v>
      </c>
    </row>
    <row r="73" spans="1:20" x14ac:dyDescent="0.3">
      <c r="A73" s="742" t="s">
        <v>63</v>
      </c>
      <c r="B73" s="20" t="s">
        <v>3</v>
      </c>
      <c r="C73" s="14"/>
      <c r="D73" s="21" t="e">
        <f t="shared" si="2"/>
        <v>#DIV/0!</v>
      </c>
      <c r="E73" s="14"/>
      <c r="F73" s="21" t="e">
        <f t="shared" si="3"/>
        <v>#DIV/0!</v>
      </c>
      <c r="G73" s="167"/>
      <c r="H73" s="21" t="e">
        <f t="shared" si="4"/>
        <v>#DIV/0!</v>
      </c>
      <c r="I73" s="167"/>
      <c r="J73" s="21" t="e">
        <f t="shared" si="5"/>
        <v>#DIV/0!</v>
      </c>
      <c r="K73" s="167"/>
      <c r="L73" s="21" t="e">
        <f t="shared" si="6"/>
        <v>#DIV/0!</v>
      </c>
      <c r="M73" s="167"/>
      <c r="N73" s="21" t="e">
        <f t="shared" si="7"/>
        <v>#DIV/0!</v>
      </c>
      <c r="O73" s="167"/>
      <c r="P73" s="21" t="e">
        <f t="shared" si="8"/>
        <v>#DIV/0!</v>
      </c>
      <c r="Q73" s="167"/>
      <c r="R73" s="21" t="e">
        <f t="shared" si="9"/>
        <v>#DIV/0!</v>
      </c>
      <c r="S73" s="167"/>
      <c r="T73" s="22" t="e">
        <f t="shared" si="10"/>
        <v>#DIV/0!</v>
      </c>
    </row>
    <row r="74" spans="1:20" ht="15" thickBot="1" x14ac:dyDescent="0.35">
      <c r="A74" s="741"/>
      <c r="B74" s="17" t="s">
        <v>10</v>
      </c>
      <c r="C74" s="165"/>
      <c r="D74" s="23" t="e">
        <f t="shared" si="2"/>
        <v>#DIV/0!</v>
      </c>
      <c r="E74" s="166"/>
      <c r="F74" s="23" t="e">
        <f t="shared" si="3"/>
        <v>#DIV/0!</v>
      </c>
      <c r="G74" s="166"/>
      <c r="H74" s="23" t="e">
        <f t="shared" si="4"/>
        <v>#DIV/0!</v>
      </c>
      <c r="I74" s="166"/>
      <c r="J74" s="23" t="e">
        <f t="shared" si="5"/>
        <v>#DIV/0!</v>
      </c>
      <c r="K74" s="166"/>
      <c r="L74" s="23" t="e">
        <f t="shared" si="6"/>
        <v>#DIV/0!</v>
      </c>
      <c r="M74" s="166"/>
      <c r="N74" s="23" t="e">
        <f t="shared" si="7"/>
        <v>#DIV/0!</v>
      </c>
      <c r="O74" s="166"/>
      <c r="P74" s="23" t="e">
        <f t="shared" si="8"/>
        <v>#DIV/0!</v>
      </c>
      <c r="Q74" s="166"/>
      <c r="R74" s="23" t="e">
        <f t="shared" si="9"/>
        <v>#DIV/0!</v>
      </c>
      <c r="S74" s="166"/>
      <c r="T74" s="24" t="e">
        <f t="shared" si="10"/>
        <v>#DIV/0!</v>
      </c>
    </row>
    <row r="75" spans="1:20" x14ac:dyDescent="0.3">
      <c r="A75" s="742" t="s">
        <v>64</v>
      </c>
      <c r="B75" s="20" t="s">
        <v>3</v>
      </c>
      <c r="C75" s="14"/>
      <c r="D75" s="21" t="e">
        <f t="shared" si="2"/>
        <v>#DIV/0!</v>
      </c>
      <c r="E75" s="14"/>
      <c r="F75" s="21" t="e">
        <f t="shared" si="3"/>
        <v>#DIV/0!</v>
      </c>
      <c r="G75" s="167"/>
      <c r="H75" s="21" t="e">
        <f t="shared" si="4"/>
        <v>#DIV/0!</v>
      </c>
      <c r="I75" s="167"/>
      <c r="J75" s="21" t="e">
        <f t="shared" si="5"/>
        <v>#DIV/0!</v>
      </c>
      <c r="K75" s="167"/>
      <c r="L75" s="21" t="e">
        <f t="shared" si="6"/>
        <v>#DIV/0!</v>
      </c>
      <c r="M75" s="167"/>
      <c r="N75" s="21" t="e">
        <f t="shared" si="7"/>
        <v>#DIV/0!</v>
      </c>
      <c r="O75" s="167"/>
      <c r="P75" s="21" t="e">
        <f t="shared" si="8"/>
        <v>#DIV/0!</v>
      </c>
      <c r="Q75" s="167"/>
      <c r="R75" s="21" t="e">
        <f t="shared" si="9"/>
        <v>#DIV/0!</v>
      </c>
      <c r="S75" s="167"/>
      <c r="T75" s="22" t="e">
        <f t="shared" si="10"/>
        <v>#DIV/0!</v>
      </c>
    </row>
    <row r="76" spans="1:20" ht="15" thickBot="1" x14ac:dyDescent="0.35">
      <c r="A76" s="741"/>
      <c r="B76" s="17" t="s">
        <v>10</v>
      </c>
      <c r="C76" s="165"/>
      <c r="D76" s="23" t="e">
        <f t="shared" si="2"/>
        <v>#DIV/0!</v>
      </c>
      <c r="E76" s="166"/>
      <c r="F76" s="23" t="e">
        <f t="shared" si="3"/>
        <v>#DIV/0!</v>
      </c>
      <c r="G76" s="166"/>
      <c r="H76" s="23" t="e">
        <f t="shared" si="4"/>
        <v>#DIV/0!</v>
      </c>
      <c r="I76" s="166"/>
      <c r="J76" s="23" t="e">
        <f t="shared" si="5"/>
        <v>#DIV/0!</v>
      </c>
      <c r="K76" s="166"/>
      <c r="L76" s="23" t="e">
        <f t="shared" si="6"/>
        <v>#DIV/0!</v>
      </c>
      <c r="M76" s="166"/>
      <c r="N76" s="23" t="e">
        <f t="shared" si="7"/>
        <v>#DIV/0!</v>
      </c>
      <c r="O76" s="166"/>
      <c r="P76" s="23" t="e">
        <f t="shared" si="8"/>
        <v>#DIV/0!</v>
      </c>
      <c r="Q76" s="166"/>
      <c r="R76" s="23" t="e">
        <f t="shared" si="9"/>
        <v>#DIV/0!</v>
      </c>
      <c r="S76" s="166"/>
      <c r="T76" s="24" t="e">
        <f t="shared" si="10"/>
        <v>#DIV/0!</v>
      </c>
    </row>
    <row r="77" spans="1:20" x14ac:dyDescent="0.3">
      <c r="A77" s="742" t="s">
        <v>65</v>
      </c>
      <c r="B77" s="20" t="s">
        <v>3</v>
      </c>
      <c r="C77" s="14"/>
      <c r="D77" s="21" t="e">
        <f t="shared" si="2"/>
        <v>#DIV/0!</v>
      </c>
      <c r="E77" s="14"/>
      <c r="F77" s="21" t="e">
        <f t="shared" si="3"/>
        <v>#DIV/0!</v>
      </c>
      <c r="G77" s="167"/>
      <c r="H77" s="21" t="e">
        <f t="shared" si="4"/>
        <v>#DIV/0!</v>
      </c>
      <c r="I77" s="167"/>
      <c r="J77" s="21" t="e">
        <f t="shared" si="5"/>
        <v>#DIV/0!</v>
      </c>
      <c r="K77" s="167"/>
      <c r="L77" s="21" t="e">
        <f t="shared" si="6"/>
        <v>#DIV/0!</v>
      </c>
      <c r="M77" s="167"/>
      <c r="N77" s="21" t="e">
        <f t="shared" si="7"/>
        <v>#DIV/0!</v>
      </c>
      <c r="O77" s="167"/>
      <c r="P77" s="21" t="e">
        <f t="shared" si="8"/>
        <v>#DIV/0!</v>
      </c>
      <c r="Q77" s="167"/>
      <c r="R77" s="21" t="e">
        <f t="shared" si="9"/>
        <v>#DIV/0!</v>
      </c>
      <c r="S77" s="167"/>
      <c r="T77" s="22" t="e">
        <f t="shared" si="10"/>
        <v>#DIV/0!</v>
      </c>
    </row>
    <row r="78" spans="1:20" ht="15" thickBot="1" x14ac:dyDescent="0.35">
      <c r="A78" s="741"/>
      <c r="B78" s="17" t="s">
        <v>10</v>
      </c>
      <c r="C78" s="165"/>
      <c r="D78" s="23" t="e">
        <f t="shared" si="2"/>
        <v>#DIV/0!</v>
      </c>
      <c r="E78" s="166"/>
      <c r="F78" s="23" t="e">
        <f t="shared" si="3"/>
        <v>#DIV/0!</v>
      </c>
      <c r="G78" s="166"/>
      <c r="H78" s="23" t="e">
        <f t="shared" si="4"/>
        <v>#DIV/0!</v>
      </c>
      <c r="I78" s="166"/>
      <c r="J78" s="23" t="e">
        <f t="shared" si="5"/>
        <v>#DIV/0!</v>
      </c>
      <c r="K78" s="166"/>
      <c r="L78" s="23" t="e">
        <f t="shared" si="6"/>
        <v>#DIV/0!</v>
      </c>
      <c r="M78" s="166"/>
      <c r="N78" s="23" t="e">
        <f t="shared" si="7"/>
        <v>#DIV/0!</v>
      </c>
      <c r="O78" s="166"/>
      <c r="P78" s="23" t="e">
        <f t="shared" si="8"/>
        <v>#DIV/0!</v>
      </c>
      <c r="Q78" s="166"/>
      <c r="R78" s="23" t="e">
        <f t="shared" si="9"/>
        <v>#DIV/0!</v>
      </c>
      <c r="S78" s="166"/>
      <c r="T78" s="24" t="e">
        <f t="shared" si="10"/>
        <v>#DIV/0!</v>
      </c>
    </row>
    <row r="79" spans="1:20" x14ac:dyDescent="0.3">
      <c r="A79" s="742" t="s">
        <v>66</v>
      </c>
      <c r="B79" s="20" t="s">
        <v>3</v>
      </c>
      <c r="C79" s="14"/>
      <c r="D79" s="21" t="e">
        <f t="shared" si="2"/>
        <v>#DIV/0!</v>
      </c>
      <c r="E79" s="167"/>
      <c r="F79" s="21" t="e">
        <f t="shared" si="3"/>
        <v>#DIV/0!</v>
      </c>
      <c r="G79" s="167"/>
      <c r="H79" s="21" t="e">
        <f t="shared" si="4"/>
        <v>#DIV/0!</v>
      </c>
      <c r="I79" s="167"/>
      <c r="J79" s="21" t="e">
        <f t="shared" si="5"/>
        <v>#DIV/0!</v>
      </c>
      <c r="K79" s="167"/>
      <c r="L79" s="21" t="e">
        <f t="shared" si="6"/>
        <v>#DIV/0!</v>
      </c>
      <c r="M79" s="167"/>
      <c r="N79" s="21" t="e">
        <f t="shared" si="7"/>
        <v>#DIV/0!</v>
      </c>
      <c r="O79" s="167"/>
      <c r="P79" s="21" t="e">
        <f t="shared" si="8"/>
        <v>#DIV/0!</v>
      </c>
      <c r="Q79" s="167"/>
      <c r="R79" s="21" t="e">
        <f t="shared" si="9"/>
        <v>#DIV/0!</v>
      </c>
      <c r="S79" s="167"/>
      <c r="T79" s="22" t="e">
        <f t="shared" si="10"/>
        <v>#DIV/0!</v>
      </c>
    </row>
    <row r="80" spans="1:20" ht="15" thickBot="1" x14ac:dyDescent="0.35">
      <c r="A80" s="741"/>
      <c r="B80" s="17" t="s">
        <v>10</v>
      </c>
      <c r="C80" s="165"/>
      <c r="D80" s="23" t="e">
        <f t="shared" si="2"/>
        <v>#DIV/0!</v>
      </c>
      <c r="E80" s="166"/>
      <c r="F80" s="23" t="e">
        <f t="shared" si="3"/>
        <v>#DIV/0!</v>
      </c>
      <c r="G80" s="166"/>
      <c r="H80" s="23" t="e">
        <f t="shared" si="4"/>
        <v>#DIV/0!</v>
      </c>
      <c r="I80" s="166"/>
      <c r="J80" s="23" t="e">
        <f t="shared" si="5"/>
        <v>#DIV/0!</v>
      </c>
      <c r="K80" s="166"/>
      <c r="L80" s="23" t="e">
        <f t="shared" si="6"/>
        <v>#DIV/0!</v>
      </c>
      <c r="M80" s="166"/>
      <c r="N80" s="23" t="e">
        <f t="shared" si="7"/>
        <v>#DIV/0!</v>
      </c>
      <c r="O80" s="166"/>
      <c r="P80" s="23" t="e">
        <f t="shared" si="8"/>
        <v>#DIV/0!</v>
      </c>
      <c r="Q80" s="166"/>
      <c r="R80" s="23" t="e">
        <f t="shared" si="9"/>
        <v>#DIV/0!</v>
      </c>
      <c r="S80" s="166"/>
      <c r="T80" s="24" t="e">
        <f t="shared" si="10"/>
        <v>#DIV/0!</v>
      </c>
    </row>
    <row r="81" spans="1:20" x14ac:dyDescent="0.3">
      <c r="A81" s="742" t="s">
        <v>67</v>
      </c>
      <c r="B81" s="20" t="s">
        <v>3</v>
      </c>
      <c r="C81" s="14"/>
      <c r="D81" s="21" t="e">
        <f t="shared" si="2"/>
        <v>#DIV/0!</v>
      </c>
      <c r="E81" s="167"/>
      <c r="F81" s="21" t="e">
        <f t="shared" si="3"/>
        <v>#DIV/0!</v>
      </c>
      <c r="G81" s="167"/>
      <c r="H81" s="21" t="e">
        <f t="shared" si="4"/>
        <v>#DIV/0!</v>
      </c>
      <c r="I81" s="167"/>
      <c r="J81" s="21" t="e">
        <f t="shared" si="5"/>
        <v>#DIV/0!</v>
      </c>
      <c r="K81" s="167"/>
      <c r="L81" s="21" t="e">
        <f t="shared" si="6"/>
        <v>#DIV/0!</v>
      </c>
      <c r="M81" s="167"/>
      <c r="N81" s="21" t="e">
        <f t="shared" si="7"/>
        <v>#DIV/0!</v>
      </c>
      <c r="O81" s="167"/>
      <c r="P81" s="21" t="e">
        <f t="shared" si="8"/>
        <v>#DIV/0!</v>
      </c>
      <c r="Q81" s="167"/>
      <c r="R81" s="21" t="e">
        <f t="shared" si="9"/>
        <v>#DIV/0!</v>
      </c>
      <c r="S81" s="167"/>
      <c r="T81" s="22" t="e">
        <f t="shared" si="10"/>
        <v>#DIV/0!</v>
      </c>
    </row>
    <row r="82" spans="1:20" ht="15" thickBot="1" x14ac:dyDescent="0.35">
      <c r="A82" s="741"/>
      <c r="B82" s="17" t="s">
        <v>10</v>
      </c>
      <c r="C82" s="165"/>
      <c r="D82" s="23" t="e">
        <f t="shared" si="2"/>
        <v>#DIV/0!</v>
      </c>
      <c r="E82" s="166"/>
      <c r="F82" s="23" t="e">
        <f t="shared" si="3"/>
        <v>#DIV/0!</v>
      </c>
      <c r="G82" s="166"/>
      <c r="H82" s="23" t="e">
        <f t="shared" si="4"/>
        <v>#DIV/0!</v>
      </c>
      <c r="I82" s="166"/>
      <c r="J82" s="23" t="e">
        <f t="shared" si="5"/>
        <v>#DIV/0!</v>
      </c>
      <c r="K82" s="166"/>
      <c r="L82" s="23" t="e">
        <f t="shared" si="6"/>
        <v>#DIV/0!</v>
      </c>
      <c r="M82" s="166"/>
      <c r="N82" s="23" t="e">
        <f t="shared" si="7"/>
        <v>#DIV/0!</v>
      </c>
      <c r="O82" s="166"/>
      <c r="P82" s="23" t="e">
        <f t="shared" si="8"/>
        <v>#DIV/0!</v>
      </c>
      <c r="Q82" s="166"/>
      <c r="R82" s="23" t="e">
        <f t="shared" si="9"/>
        <v>#DIV/0!</v>
      </c>
      <c r="S82" s="166"/>
      <c r="T82" s="24" t="e">
        <f t="shared" si="10"/>
        <v>#DIV/0!</v>
      </c>
    </row>
    <row r="113" spans="2:19" ht="15" thickBot="1" x14ac:dyDescent="0.35">
      <c r="B113" s="666" t="s">
        <v>178</v>
      </c>
      <c r="C113" s="666"/>
      <c r="D113" s="666"/>
      <c r="E113" s="666"/>
      <c r="F113" s="666"/>
      <c r="G113" s="666"/>
      <c r="H113" s="666"/>
      <c r="I113" s="666"/>
      <c r="J113" s="666"/>
      <c r="K113" s="666" t="s">
        <v>179</v>
      </c>
      <c r="L113" s="666"/>
      <c r="M113" s="666"/>
      <c r="N113" s="666"/>
      <c r="O113" s="666"/>
      <c r="P113" s="666"/>
      <c r="Q113" s="666"/>
      <c r="R113" s="666"/>
      <c r="S113" s="666"/>
    </row>
    <row r="114" spans="2:19" ht="15" thickBot="1" x14ac:dyDescent="0.35">
      <c r="B114" s="195" t="s">
        <v>180</v>
      </c>
      <c r="C114" s="737" t="s">
        <v>181</v>
      </c>
      <c r="D114" s="744"/>
      <c r="E114" s="744"/>
      <c r="F114" s="744"/>
      <c r="G114" s="738"/>
      <c r="H114" s="25" t="s">
        <v>182</v>
      </c>
      <c r="I114" s="25" t="s">
        <v>183</v>
      </c>
      <c r="J114" s="196" t="s">
        <v>184</v>
      </c>
      <c r="K114" s="195" t="s">
        <v>180</v>
      </c>
      <c r="L114" s="737" t="s">
        <v>181</v>
      </c>
      <c r="M114" s="744"/>
      <c r="N114" s="744"/>
      <c r="O114" s="744"/>
      <c r="P114" s="738"/>
      <c r="Q114" s="25" t="s">
        <v>182</v>
      </c>
      <c r="R114" s="25" t="s">
        <v>183</v>
      </c>
      <c r="S114" s="196" t="s">
        <v>184</v>
      </c>
    </row>
    <row r="115" spans="2:19" ht="15" customHeight="1" thickBot="1" x14ac:dyDescent="0.35">
      <c r="B115" s="491" t="s">
        <v>344</v>
      </c>
      <c r="C115" s="751" t="s">
        <v>345</v>
      </c>
      <c r="D115" s="752"/>
      <c r="E115" s="752"/>
      <c r="F115" s="752"/>
      <c r="G115" s="753"/>
      <c r="H115" s="492">
        <v>45303</v>
      </c>
      <c r="I115" s="493">
        <v>1</v>
      </c>
      <c r="J115" s="494">
        <v>472.32</v>
      </c>
      <c r="K115" s="493" t="s">
        <v>346</v>
      </c>
      <c r="L115" s="751" t="s">
        <v>347</v>
      </c>
      <c r="M115" s="752"/>
      <c r="N115" s="752"/>
      <c r="O115" s="752"/>
      <c r="P115" s="753"/>
      <c r="Q115" s="492">
        <v>45299</v>
      </c>
      <c r="R115" s="493" t="s">
        <v>348</v>
      </c>
      <c r="S115" s="494">
        <v>513</v>
      </c>
    </row>
    <row r="116" spans="2:19" ht="15" customHeight="1" thickBot="1" x14ac:dyDescent="0.35">
      <c r="B116" s="495" t="s">
        <v>349</v>
      </c>
      <c r="C116" s="754" t="s">
        <v>350</v>
      </c>
      <c r="D116" s="755"/>
      <c r="E116" s="755"/>
      <c r="F116" s="755"/>
      <c r="G116" s="756"/>
      <c r="H116" s="496">
        <v>45307</v>
      </c>
      <c r="I116" s="497">
        <v>1</v>
      </c>
      <c r="J116" s="498">
        <v>69.19</v>
      </c>
      <c r="K116" s="497" t="s">
        <v>351</v>
      </c>
      <c r="L116" s="754" t="s">
        <v>347</v>
      </c>
      <c r="M116" s="755"/>
      <c r="N116" s="755"/>
      <c r="O116" s="755"/>
      <c r="P116" s="756"/>
      <c r="Q116" s="496">
        <v>45294</v>
      </c>
      <c r="R116" s="497" t="s">
        <v>348</v>
      </c>
      <c r="S116" s="498">
        <v>259.5</v>
      </c>
    </row>
    <row r="117" spans="2:19" ht="15" customHeight="1" thickBot="1" x14ac:dyDescent="0.35">
      <c r="B117" s="495" t="s">
        <v>352</v>
      </c>
      <c r="C117" s="754" t="s">
        <v>353</v>
      </c>
      <c r="D117" s="755"/>
      <c r="E117" s="755"/>
      <c r="F117" s="755"/>
      <c r="G117" s="756"/>
      <c r="H117" s="496">
        <v>45322</v>
      </c>
      <c r="I117" s="497">
        <v>1</v>
      </c>
      <c r="J117" s="499">
        <v>398</v>
      </c>
      <c r="K117" s="497" t="s">
        <v>354</v>
      </c>
      <c r="L117" s="754" t="s">
        <v>347</v>
      </c>
      <c r="M117" s="755"/>
      <c r="N117" s="755"/>
      <c r="O117" s="755"/>
      <c r="P117" s="756"/>
      <c r="Q117" s="500"/>
      <c r="R117" s="497" t="s">
        <v>348</v>
      </c>
      <c r="S117" s="500"/>
    </row>
    <row r="118" spans="2:19" ht="15" customHeight="1" thickBot="1" x14ac:dyDescent="0.35">
      <c r="B118" s="495" t="s">
        <v>355</v>
      </c>
      <c r="C118" s="754" t="s">
        <v>353</v>
      </c>
      <c r="D118" s="755"/>
      <c r="E118" s="755"/>
      <c r="F118" s="755"/>
      <c r="G118" s="756"/>
      <c r="H118" s="500"/>
      <c r="I118" s="497">
        <v>1</v>
      </c>
      <c r="J118" s="498">
        <v>81</v>
      </c>
      <c r="K118" s="497" t="s">
        <v>356</v>
      </c>
      <c r="L118" s="754" t="s">
        <v>347</v>
      </c>
      <c r="M118" s="755"/>
      <c r="N118" s="755"/>
      <c r="O118" s="755"/>
      <c r="P118" s="756"/>
      <c r="Q118" s="500"/>
      <c r="R118" s="497" t="s">
        <v>348</v>
      </c>
      <c r="S118" s="500"/>
    </row>
    <row r="119" spans="2:19" ht="15" thickBot="1" x14ac:dyDescent="0.35">
      <c r="B119" s="495" t="s">
        <v>357</v>
      </c>
      <c r="C119" s="754" t="s">
        <v>358</v>
      </c>
      <c r="D119" s="755"/>
      <c r="E119" s="755"/>
      <c r="F119" s="755"/>
      <c r="G119" s="756"/>
      <c r="H119" s="496">
        <v>45316</v>
      </c>
      <c r="I119" s="497">
        <v>1</v>
      </c>
      <c r="J119" s="497" t="s">
        <v>359</v>
      </c>
      <c r="K119" s="497" t="s">
        <v>360</v>
      </c>
      <c r="L119" s="754" t="s">
        <v>361</v>
      </c>
      <c r="M119" s="755"/>
      <c r="N119" s="755"/>
      <c r="O119" s="755"/>
      <c r="P119" s="756"/>
      <c r="Q119" s="500"/>
      <c r="R119" s="497" t="s">
        <v>348</v>
      </c>
      <c r="S119" s="500"/>
    </row>
    <row r="120" spans="2:19" ht="15" customHeight="1" thickBot="1" x14ac:dyDescent="0.35">
      <c r="B120" s="495" t="s">
        <v>362</v>
      </c>
      <c r="C120" s="754" t="s">
        <v>363</v>
      </c>
      <c r="D120" s="755"/>
      <c r="E120" s="755"/>
      <c r="F120" s="755"/>
      <c r="G120" s="756"/>
      <c r="H120" s="496">
        <v>45316</v>
      </c>
      <c r="I120" s="497">
        <v>1</v>
      </c>
      <c r="J120" s="497" t="s">
        <v>364</v>
      </c>
      <c r="K120" s="497" t="s">
        <v>365</v>
      </c>
      <c r="L120" s="754" t="s">
        <v>366</v>
      </c>
      <c r="M120" s="755"/>
      <c r="N120" s="755"/>
      <c r="O120" s="755"/>
      <c r="P120" s="756"/>
      <c r="Q120" s="500"/>
      <c r="R120" s="500"/>
      <c r="S120" s="498">
        <v>500</v>
      </c>
    </row>
    <row r="121" spans="2:19" ht="15" customHeight="1" thickBot="1" x14ac:dyDescent="0.35">
      <c r="B121" s="495" t="s">
        <v>367</v>
      </c>
      <c r="C121" s="754" t="s">
        <v>368</v>
      </c>
      <c r="D121" s="755"/>
      <c r="E121" s="755"/>
      <c r="F121" s="755"/>
      <c r="G121" s="756"/>
      <c r="H121" s="496">
        <v>45341</v>
      </c>
      <c r="I121" s="497">
        <v>1</v>
      </c>
      <c r="J121" s="499">
        <v>398</v>
      </c>
      <c r="K121" s="497" t="s">
        <v>369</v>
      </c>
      <c r="L121" s="754" t="s">
        <v>370</v>
      </c>
      <c r="M121" s="755"/>
      <c r="N121" s="755"/>
      <c r="O121" s="755"/>
      <c r="P121" s="756"/>
      <c r="Q121" s="496">
        <v>45301</v>
      </c>
      <c r="R121" s="497" t="s">
        <v>348</v>
      </c>
      <c r="S121" s="498">
        <v>24.7</v>
      </c>
    </row>
    <row r="122" spans="2:19" ht="15" customHeight="1" thickBot="1" x14ac:dyDescent="0.35">
      <c r="B122" s="495" t="s">
        <v>371</v>
      </c>
      <c r="C122" s="754" t="s">
        <v>372</v>
      </c>
      <c r="D122" s="755"/>
      <c r="E122" s="755"/>
      <c r="F122" s="755"/>
      <c r="G122" s="756"/>
      <c r="H122" s="496">
        <v>45324</v>
      </c>
      <c r="I122" s="497">
        <v>8</v>
      </c>
      <c r="J122" s="498">
        <v>94.29</v>
      </c>
      <c r="K122" s="497" t="s">
        <v>373</v>
      </c>
      <c r="L122" s="754" t="s">
        <v>374</v>
      </c>
      <c r="M122" s="755"/>
      <c r="N122" s="755"/>
      <c r="O122" s="755"/>
      <c r="P122" s="756"/>
      <c r="Q122" s="496">
        <v>44941</v>
      </c>
      <c r="R122" s="497" t="s">
        <v>375</v>
      </c>
      <c r="S122" s="498">
        <v>28.31</v>
      </c>
    </row>
    <row r="123" spans="2:19" ht="15" customHeight="1" thickBot="1" x14ac:dyDescent="0.35">
      <c r="B123" s="495" t="s">
        <v>376</v>
      </c>
      <c r="C123" s="754" t="s">
        <v>377</v>
      </c>
      <c r="D123" s="755"/>
      <c r="E123" s="755"/>
      <c r="F123" s="755"/>
      <c r="G123" s="756"/>
      <c r="H123" s="496">
        <v>45327</v>
      </c>
      <c r="I123" s="497">
        <v>1</v>
      </c>
      <c r="J123" s="499">
        <v>50</v>
      </c>
      <c r="K123" s="497" t="s">
        <v>378</v>
      </c>
      <c r="L123" s="754" t="s">
        <v>379</v>
      </c>
      <c r="M123" s="755"/>
      <c r="N123" s="755"/>
      <c r="O123" s="755"/>
      <c r="P123" s="756"/>
      <c r="Q123" s="500"/>
      <c r="R123" s="497" t="s">
        <v>348</v>
      </c>
      <c r="S123" s="500"/>
    </row>
    <row r="124" spans="2:19" ht="15" thickBot="1" x14ac:dyDescent="0.35">
      <c r="B124" s="495" t="s">
        <v>380</v>
      </c>
      <c r="C124" s="754" t="s">
        <v>381</v>
      </c>
      <c r="D124" s="755"/>
      <c r="E124" s="755"/>
      <c r="F124" s="755"/>
      <c r="G124" s="756"/>
      <c r="H124" s="496">
        <v>45341</v>
      </c>
      <c r="I124" s="497">
        <v>1</v>
      </c>
      <c r="J124" s="497" t="s">
        <v>382</v>
      </c>
      <c r="K124" s="500"/>
      <c r="L124" s="776"/>
      <c r="M124" s="777"/>
      <c r="N124" s="777"/>
      <c r="O124" s="777"/>
      <c r="P124" s="778"/>
      <c r="Q124" s="500"/>
      <c r="R124" s="500"/>
      <c r="S124" s="500"/>
    </row>
    <row r="125" spans="2:19" x14ac:dyDescent="0.3">
      <c r="B125" s="26"/>
      <c r="C125" s="745"/>
      <c r="D125" s="746"/>
      <c r="E125" s="746"/>
      <c r="F125" s="746"/>
      <c r="G125" s="747"/>
      <c r="H125" s="27"/>
      <c r="I125" s="27"/>
      <c r="J125" s="28"/>
      <c r="K125" s="26"/>
      <c r="L125" s="745"/>
      <c r="M125" s="746"/>
      <c r="N125" s="746"/>
      <c r="O125" s="746"/>
      <c r="P125" s="747"/>
      <c r="Q125" s="27"/>
      <c r="R125" s="27"/>
      <c r="S125" s="28"/>
    </row>
    <row r="126" spans="2:19" x14ac:dyDescent="0.3">
      <c r="B126" s="26"/>
      <c r="C126" s="745"/>
      <c r="D126" s="746"/>
      <c r="E126" s="746"/>
      <c r="F126" s="746"/>
      <c r="G126" s="747"/>
      <c r="H126" s="27"/>
      <c r="I126" s="27"/>
      <c r="J126" s="28"/>
      <c r="K126" s="26"/>
      <c r="L126" s="745"/>
      <c r="M126" s="746"/>
      <c r="N126" s="746"/>
      <c r="O126" s="746"/>
      <c r="P126" s="747"/>
      <c r="Q126" s="27"/>
      <c r="R126" s="27"/>
      <c r="S126" s="28"/>
    </row>
    <row r="127" spans="2:19" x14ac:dyDescent="0.3">
      <c r="B127" s="26"/>
      <c r="C127" s="745"/>
      <c r="D127" s="746"/>
      <c r="E127" s="746"/>
      <c r="F127" s="746"/>
      <c r="G127" s="747"/>
      <c r="H127" s="27"/>
      <c r="I127" s="27"/>
      <c r="J127" s="28"/>
      <c r="K127" s="26"/>
      <c r="L127" s="745"/>
      <c r="M127" s="746"/>
      <c r="N127" s="746"/>
      <c r="O127" s="746"/>
      <c r="P127" s="747"/>
      <c r="Q127" s="27"/>
      <c r="R127" s="27"/>
      <c r="S127" s="28"/>
    </row>
    <row r="128" spans="2:19" x14ac:dyDescent="0.3">
      <c r="B128" s="26"/>
      <c r="C128" s="745"/>
      <c r="D128" s="746"/>
      <c r="E128" s="746"/>
      <c r="F128" s="746"/>
      <c r="G128" s="747"/>
      <c r="H128" s="27"/>
      <c r="I128" s="27"/>
      <c r="J128" s="28"/>
      <c r="K128" s="26"/>
      <c r="L128" s="745"/>
      <c r="M128" s="746"/>
      <c r="N128" s="746"/>
      <c r="O128" s="746"/>
      <c r="P128" s="747"/>
      <c r="Q128" s="27"/>
      <c r="R128" s="27"/>
      <c r="S128" s="28"/>
    </row>
    <row r="129" spans="3:16" x14ac:dyDescent="0.3">
      <c r="C129" s="745"/>
      <c r="D129" s="746"/>
      <c r="E129" s="746"/>
      <c r="F129" s="746"/>
      <c r="G129" s="747"/>
      <c r="H129" s="27"/>
      <c r="I129" s="27"/>
      <c r="J129" s="28"/>
      <c r="K129" s="26"/>
      <c r="L129" s="745"/>
      <c r="M129" s="746"/>
      <c r="N129" s="746"/>
      <c r="O129" s="746"/>
      <c r="P129" s="747"/>
    </row>
    <row r="130" spans="3:16" x14ac:dyDescent="0.3">
      <c r="C130" s="745"/>
      <c r="D130" s="746"/>
      <c r="E130" s="746"/>
      <c r="F130" s="746"/>
      <c r="G130" s="747"/>
      <c r="H130" s="27"/>
      <c r="I130" s="27"/>
      <c r="J130" s="28"/>
      <c r="K130" s="26"/>
      <c r="L130" s="745"/>
      <c r="M130" s="746"/>
      <c r="N130" s="746"/>
      <c r="O130" s="746"/>
      <c r="P130" s="747"/>
    </row>
    <row r="131" spans="3:16" x14ac:dyDescent="0.3">
      <c r="C131" s="745"/>
      <c r="D131" s="746"/>
      <c r="E131" s="746"/>
      <c r="F131" s="746"/>
      <c r="G131" s="747"/>
      <c r="H131" s="27"/>
      <c r="I131" s="27"/>
      <c r="J131" s="28"/>
      <c r="K131" s="26"/>
      <c r="L131" s="745"/>
      <c r="M131" s="746"/>
      <c r="N131" s="746"/>
      <c r="O131" s="746"/>
      <c r="P131" s="747"/>
    </row>
    <row r="132" spans="3:16" x14ac:dyDescent="0.3">
      <c r="C132" s="745"/>
      <c r="D132" s="746"/>
      <c r="E132" s="746"/>
      <c r="F132" s="746"/>
      <c r="G132" s="747"/>
      <c r="H132" s="27"/>
      <c r="I132" s="27"/>
      <c r="J132" s="28"/>
      <c r="K132" s="26"/>
      <c r="L132" s="745"/>
      <c r="M132" s="746"/>
      <c r="N132" s="746"/>
      <c r="O132" s="746"/>
      <c r="P132" s="747"/>
    </row>
    <row r="133" spans="3:16" x14ac:dyDescent="0.3">
      <c r="C133" s="745"/>
      <c r="D133" s="746"/>
      <c r="E133" s="746"/>
      <c r="F133" s="746"/>
      <c r="G133" s="747"/>
      <c r="H133" s="27"/>
      <c r="I133" s="27"/>
      <c r="J133" s="28"/>
      <c r="K133" s="26"/>
      <c r="L133" s="745"/>
      <c r="M133" s="746"/>
      <c r="N133" s="746"/>
      <c r="O133" s="746"/>
      <c r="P133" s="747"/>
    </row>
    <row r="134" spans="3:16" x14ac:dyDescent="0.3">
      <c r="C134" s="745"/>
      <c r="D134" s="746"/>
      <c r="E134" s="746"/>
      <c r="F134" s="746"/>
      <c r="G134" s="747"/>
      <c r="H134" s="27"/>
      <c r="I134" s="27"/>
      <c r="J134" s="28"/>
      <c r="K134" s="26"/>
      <c r="L134" s="745"/>
      <c r="M134" s="746"/>
      <c r="N134" s="746"/>
      <c r="O134" s="746"/>
      <c r="P134" s="747"/>
    </row>
    <row r="135" spans="3:16" x14ac:dyDescent="0.3">
      <c r="C135" s="745"/>
      <c r="D135" s="746"/>
      <c r="E135" s="746"/>
      <c r="F135" s="746"/>
      <c r="G135" s="747"/>
      <c r="H135" s="27"/>
      <c r="I135" s="27"/>
      <c r="J135" s="28"/>
      <c r="K135" s="26"/>
      <c r="L135" s="745"/>
      <c r="M135" s="746"/>
      <c r="N135" s="746"/>
      <c r="O135" s="746"/>
      <c r="P135" s="747"/>
    </row>
    <row r="136" spans="3:16" x14ac:dyDescent="0.3">
      <c r="C136" s="745"/>
      <c r="D136" s="746"/>
      <c r="E136" s="746"/>
      <c r="F136" s="746"/>
      <c r="G136" s="747"/>
      <c r="H136" s="27"/>
      <c r="I136" s="27"/>
      <c r="J136" s="28"/>
      <c r="K136" s="26"/>
      <c r="L136" s="745"/>
      <c r="M136" s="746"/>
      <c r="N136" s="746"/>
      <c r="O136" s="746"/>
      <c r="P136" s="747"/>
    </row>
    <row r="137" spans="3:16" x14ac:dyDescent="0.3">
      <c r="C137" s="745"/>
      <c r="D137" s="746"/>
      <c r="E137" s="746"/>
      <c r="F137" s="746"/>
      <c r="G137" s="747"/>
      <c r="H137" s="27"/>
      <c r="I137" s="27"/>
      <c r="J137" s="28"/>
      <c r="K137" s="26"/>
      <c r="L137" s="745"/>
      <c r="M137" s="746"/>
      <c r="N137" s="746"/>
      <c r="O137" s="746"/>
      <c r="P137" s="747"/>
    </row>
    <row r="138" spans="3:16" x14ac:dyDescent="0.3">
      <c r="C138" s="745"/>
      <c r="D138" s="746"/>
      <c r="E138" s="746"/>
      <c r="F138" s="746"/>
      <c r="G138" s="747"/>
      <c r="H138" s="27"/>
      <c r="I138" s="27"/>
      <c r="J138" s="28"/>
      <c r="K138" s="26"/>
      <c r="L138" s="745"/>
      <c r="M138" s="746"/>
      <c r="N138" s="746"/>
      <c r="O138" s="746"/>
      <c r="P138" s="747"/>
    </row>
    <row r="139" spans="3:16" x14ac:dyDescent="0.3">
      <c r="C139" s="745"/>
      <c r="D139" s="746"/>
      <c r="E139" s="746"/>
      <c r="F139" s="746"/>
      <c r="G139" s="747"/>
      <c r="H139" s="27"/>
      <c r="I139" s="27"/>
      <c r="J139" s="28"/>
      <c r="K139" s="26"/>
      <c r="L139" s="745"/>
      <c r="M139" s="746"/>
      <c r="N139" s="746"/>
      <c r="O139" s="746"/>
      <c r="P139" s="747"/>
    </row>
    <row r="140" spans="3:16" x14ac:dyDescent="0.3">
      <c r="C140" s="745"/>
      <c r="D140" s="746"/>
      <c r="E140" s="746"/>
      <c r="F140" s="746"/>
      <c r="G140" s="747"/>
      <c r="H140" s="27"/>
      <c r="I140" s="27"/>
      <c r="J140" s="28"/>
      <c r="K140" s="26"/>
      <c r="L140" s="745"/>
      <c r="M140" s="746"/>
      <c r="N140" s="746"/>
      <c r="O140" s="746"/>
      <c r="P140" s="747"/>
    </row>
    <row r="141" spans="3:16" x14ac:dyDescent="0.3">
      <c r="C141" s="745"/>
      <c r="D141" s="746"/>
      <c r="E141" s="746"/>
      <c r="F141" s="746"/>
      <c r="G141" s="747"/>
      <c r="H141" s="27"/>
      <c r="I141" s="27"/>
      <c r="J141" s="28"/>
      <c r="K141" s="26"/>
      <c r="L141" s="745"/>
      <c r="M141" s="746"/>
      <c r="N141" s="746"/>
      <c r="O141" s="746"/>
      <c r="P141" s="747"/>
    </row>
    <row r="142" spans="3:16" x14ac:dyDescent="0.3">
      <c r="C142" s="745"/>
      <c r="D142" s="746"/>
      <c r="E142" s="746"/>
      <c r="F142" s="746"/>
      <c r="G142" s="747"/>
      <c r="H142" s="27"/>
      <c r="I142" s="27"/>
      <c r="J142" s="28"/>
      <c r="K142" s="26"/>
      <c r="L142" s="745"/>
      <c r="M142" s="746"/>
      <c r="N142" s="746"/>
      <c r="O142" s="746"/>
      <c r="P142" s="747"/>
    </row>
    <row r="143" spans="3:16" x14ac:dyDescent="0.3">
      <c r="C143" s="745"/>
      <c r="D143" s="746"/>
      <c r="E143" s="746"/>
      <c r="F143" s="746"/>
      <c r="G143" s="747"/>
      <c r="H143" s="27"/>
      <c r="I143" s="27"/>
      <c r="J143" s="28"/>
      <c r="K143" s="26"/>
      <c r="L143" s="745"/>
      <c r="M143" s="746"/>
      <c r="N143" s="746"/>
      <c r="O143" s="746"/>
      <c r="P143" s="747"/>
    </row>
    <row r="144" spans="3:16" x14ac:dyDescent="0.3">
      <c r="C144" s="745"/>
      <c r="D144" s="746"/>
      <c r="E144" s="746"/>
      <c r="F144" s="746"/>
      <c r="G144" s="747"/>
      <c r="H144" s="27"/>
      <c r="I144" s="27"/>
      <c r="J144" s="28"/>
      <c r="K144" s="26"/>
      <c r="L144" s="745"/>
      <c r="M144" s="746"/>
      <c r="N144" s="746"/>
      <c r="O144" s="746"/>
      <c r="P144" s="747"/>
    </row>
    <row r="145" spans="3:16" x14ac:dyDescent="0.3">
      <c r="C145" s="745"/>
      <c r="D145" s="746"/>
      <c r="E145" s="746"/>
      <c r="F145" s="746"/>
      <c r="G145" s="747"/>
      <c r="H145" s="27"/>
      <c r="I145" s="27"/>
      <c r="J145" s="28"/>
      <c r="K145" s="26"/>
      <c r="L145" s="745"/>
      <c r="M145" s="746"/>
      <c r="N145" s="746"/>
      <c r="O145" s="746"/>
      <c r="P145" s="747"/>
    </row>
    <row r="146" spans="3:16" x14ac:dyDescent="0.3">
      <c r="C146" s="745"/>
      <c r="D146" s="746"/>
      <c r="E146" s="746"/>
      <c r="F146" s="746"/>
      <c r="G146" s="747"/>
      <c r="H146" s="27"/>
      <c r="I146" s="27"/>
      <c r="J146" s="28"/>
      <c r="K146" s="26"/>
      <c r="L146" s="745"/>
      <c r="M146" s="746"/>
      <c r="N146" s="746"/>
      <c r="O146" s="746"/>
      <c r="P146" s="747"/>
    </row>
    <row r="147" spans="3:16" x14ac:dyDescent="0.3">
      <c r="C147" s="745"/>
      <c r="D147" s="746"/>
      <c r="E147" s="746"/>
      <c r="F147" s="746"/>
      <c r="G147" s="747"/>
      <c r="H147" s="27"/>
      <c r="I147" s="27"/>
      <c r="J147" s="28"/>
      <c r="K147" s="26"/>
      <c r="L147" s="745"/>
      <c r="M147" s="746"/>
      <c r="N147" s="746"/>
      <c r="O147" s="746"/>
      <c r="P147" s="747"/>
    </row>
    <row r="148" spans="3:16" x14ac:dyDescent="0.3">
      <c r="C148" s="745"/>
      <c r="D148" s="746"/>
      <c r="E148" s="746"/>
      <c r="F148" s="746"/>
      <c r="G148" s="747"/>
      <c r="H148" s="27"/>
      <c r="I148" s="27"/>
      <c r="J148" s="28"/>
      <c r="K148" s="26"/>
      <c r="L148" s="745"/>
      <c r="M148" s="746"/>
      <c r="N148" s="746"/>
      <c r="O148" s="746"/>
      <c r="P148" s="747"/>
    </row>
    <row r="149" spans="3:16" x14ac:dyDescent="0.3">
      <c r="C149" s="745"/>
      <c r="D149" s="746"/>
      <c r="E149" s="746"/>
      <c r="F149" s="746"/>
      <c r="G149" s="747"/>
      <c r="H149" s="27"/>
      <c r="I149" s="27"/>
      <c r="J149" s="28"/>
      <c r="K149" s="26"/>
      <c r="L149" s="745"/>
      <c r="M149" s="746"/>
      <c r="N149" s="746"/>
      <c r="O149" s="746"/>
      <c r="P149" s="747"/>
    </row>
    <row r="150" spans="3:16" x14ac:dyDescent="0.3">
      <c r="C150" s="745"/>
      <c r="D150" s="746"/>
      <c r="E150" s="746"/>
      <c r="F150" s="746"/>
      <c r="G150" s="747"/>
      <c r="H150" s="27"/>
      <c r="I150" s="27"/>
      <c r="J150" s="28"/>
      <c r="K150" s="26"/>
      <c r="L150" s="745"/>
      <c r="M150" s="746"/>
      <c r="N150" s="746"/>
      <c r="O150" s="746"/>
      <c r="P150" s="747"/>
    </row>
    <row r="151" spans="3:16" x14ac:dyDescent="0.3">
      <c r="C151" s="745"/>
      <c r="D151" s="746"/>
      <c r="E151" s="746"/>
      <c r="F151" s="746"/>
      <c r="G151" s="747"/>
      <c r="H151" s="27"/>
      <c r="I151" s="27"/>
      <c r="J151" s="28"/>
      <c r="K151" s="26"/>
      <c r="L151" s="745"/>
      <c r="M151" s="746"/>
      <c r="N151" s="746"/>
      <c r="O151" s="746"/>
      <c r="P151" s="747"/>
    </row>
    <row r="152" spans="3:16" x14ac:dyDescent="0.3">
      <c r="C152" s="745"/>
      <c r="D152" s="746"/>
      <c r="E152" s="746"/>
      <c r="F152" s="746"/>
      <c r="G152" s="747"/>
      <c r="H152" s="27"/>
      <c r="I152" s="27"/>
      <c r="J152" s="28"/>
      <c r="K152" s="26"/>
      <c r="L152" s="745"/>
      <c r="M152" s="746"/>
      <c r="N152" s="746"/>
      <c r="O152" s="746"/>
      <c r="P152" s="747"/>
    </row>
    <row r="153" spans="3:16" x14ac:dyDescent="0.3">
      <c r="C153" s="745"/>
      <c r="D153" s="746"/>
      <c r="E153" s="746"/>
      <c r="F153" s="746"/>
      <c r="G153" s="747"/>
      <c r="H153" s="27"/>
      <c r="I153" s="27"/>
      <c r="J153" s="28"/>
      <c r="K153" s="26"/>
      <c r="L153" s="745"/>
      <c r="M153" s="746"/>
      <c r="N153" s="746"/>
      <c r="O153" s="746"/>
      <c r="P153" s="747"/>
    </row>
    <row r="154" spans="3:16" x14ac:dyDescent="0.3">
      <c r="C154" s="745"/>
      <c r="D154" s="746"/>
      <c r="E154" s="746"/>
      <c r="F154" s="746"/>
      <c r="G154" s="747"/>
      <c r="H154" s="27"/>
      <c r="I154" s="27"/>
      <c r="J154" s="28"/>
      <c r="K154" s="26"/>
      <c r="L154" s="745"/>
      <c r="M154" s="746"/>
      <c r="N154" s="746"/>
      <c r="O154" s="746"/>
      <c r="P154" s="747"/>
    </row>
    <row r="155" spans="3:16" x14ac:dyDescent="0.3">
      <c r="C155" s="745"/>
      <c r="D155" s="746"/>
      <c r="E155" s="746"/>
      <c r="F155" s="746"/>
      <c r="G155" s="747"/>
      <c r="H155" s="27"/>
      <c r="I155" s="27"/>
      <c r="J155" s="28"/>
      <c r="K155" s="26"/>
      <c r="L155" s="745"/>
      <c r="M155" s="746"/>
      <c r="N155" s="746"/>
      <c r="O155" s="746"/>
      <c r="P155" s="747"/>
    </row>
    <row r="156" spans="3:16" x14ac:dyDescent="0.3">
      <c r="C156" s="745"/>
      <c r="D156" s="746"/>
      <c r="E156" s="746"/>
      <c r="F156" s="746"/>
      <c r="G156" s="747"/>
      <c r="H156" s="27"/>
      <c r="I156" s="27"/>
      <c r="J156" s="28"/>
      <c r="K156" s="26"/>
      <c r="L156" s="745"/>
      <c r="M156" s="746"/>
      <c r="N156" s="746"/>
      <c r="O156" s="746"/>
      <c r="P156" s="747"/>
    </row>
    <row r="157" spans="3:16" x14ac:dyDescent="0.3">
      <c r="C157" s="745"/>
      <c r="D157" s="746"/>
      <c r="E157" s="746"/>
      <c r="F157" s="746"/>
      <c r="G157" s="747"/>
      <c r="H157" s="27"/>
      <c r="I157" s="27"/>
      <c r="J157" s="28"/>
      <c r="K157" s="26"/>
      <c r="L157" s="745"/>
      <c r="M157" s="746"/>
      <c r="N157" s="746"/>
      <c r="O157" s="746"/>
      <c r="P157" s="747"/>
    </row>
    <row r="158" spans="3:16" x14ac:dyDescent="0.3">
      <c r="C158" s="745"/>
      <c r="D158" s="746"/>
      <c r="E158" s="746"/>
      <c r="F158" s="746"/>
      <c r="G158" s="747"/>
      <c r="H158" s="27"/>
      <c r="I158" s="27"/>
      <c r="J158" s="28"/>
      <c r="K158" s="26"/>
      <c r="L158" s="745"/>
      <c r="M158" s="746"/>
      <c r="N158" s="746"/>
      <c r="O158" s="746"/>
      <c r="P158" s="747"/>
    </row>
    <row r="159" spans="3:16" x14ac:dyDescent="0.3">
      <c r="C159" s="745"/>
      <c r="D159" s="746"/>
      <c r="E159" s="746"/>
      <c r="F159" s="746"/>
      <c r="G159" s="747"/>
      <c r="H159" s="27"/>
      <c r="I159" s="27"/>
      <c r="J159" s="28"/>
      <c r="K159" s="26"/>
      <c r="L159" s="745"/>
      <c r="M159" s="746"/>
      <c r="N159" s="746"/>
      <c r="O159" s="746"/>
      <c r="P159" s="747"/>
    </row>
    <row r="160" spans="3:16" x14ac:dyDescent="0.3">
      <c r="C160" s="745"/>
      <c r="D160" s="746"/>
      <c r="E160" s="746"/>
      <c r="F160" s="746"/>
      <c r="G160" s="747"/>
      <c r="H160" s="30"/>
      <c r="I160" s="30"/>
      <c r="J160" s="31"/>
      <c r="K160" s="29"/>
      <c r="L160" s="745"/>
      <c r="M160" s="746"/>
      <c r="N160" s="746"/>
      <c r="O160" s="746"/>
      <c r="P160" s="747"/>
    </row>
    <row r="161" spans="3:17" x14ac:dyDescent="0.3">
      <c r="C161" s="745"/>
      <c r="D161" s="746"/>
      <c r="E161" s="746"/>
      <c r="F161" s="746"/>
      <c r="G161" s="747"/>
      <c r="H161" s="30"/>
      <c r="I161" s="30"/>
      <c r="J161" s="32"/>
      <c r="K161" s="29"/>
      <c r="L161" s="745"/>
      <c r="M161" s="746"/>
      <c r="N161" s="746"/>
      <c r="O161" s="746"/>
      <c r="P161" s="747"/>
      <c r="Q161" s="30"/>
    </row>
    <row r="162" spans="3:17" x14ac:dyDescent="0.3">
      <c r="C162" s="745"/>
      <c r="D162" s="746"/>
      <c r="E162" s="746"/>
      <c r="F162" s="746"/>
      <c r="G162" s="747"/>
      <c r="H162" s="30"/>
      <c r="I162" s="30"/>
      <c r="J162" s="31"/>
      <c r="K162" s="29"/>
      <c r="L162" s="745"/>
      <c r="M162" s="746"/>
      <c r="N162" s="746"/>
      <c r="O162" s="746"/>
      <c r="P162" s="747"/>
      <c r="Q162" s="30"/>
    </row>
    <row r="163" spans="3:17" ht="15" thickBot="1" x14ac:dyDescent="0.35">
      <c r="C163" s="748"/>
      <c r="D163" s="749"/>
      <c r="E163" s="749"/>
      <c r="F163" s="749"/>
      <c r="G163" s="750"/>
      <c r="H163" s="34"/>
      <c r="I163" s="34"/>
      <c r="J163" s="35"/>
      <c r="K163" s="33"/>
      <c r="L163" s="748"/>
      <c r="M163" s="749"/>
      <c r="N163" s="749"/>
      <c r="O163" s="749"/>
      <c r="P163" s="750"/>
      <c r="Q163" s="34"/>
    </row>
    <row r="164" spans="3:17" x14ac:dyDescent="0.3"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</row>
    <row r="165" spans="3:17" ht="21" x14ac:dyDescent="0.4">
      <c r="C165" s="1"/>
      <c r="D165" s="652" t="s">
        <v>185</v>
      </c>
      <c r="E165" s="652"/>
      <c r="F165" s="652"/>
      <c r="G165" s="652"/>
      <c r="H165" s="652"/>
      <c r="I165" s="652"/>
      <c r="J165" s="652"/>
      <c r="K165" s="652"/>
      <c r="L165" s="652"/>
      <c r="M165" s="652"/>
      <c r="N165" s="652"/>
      <c r="O165" s="652"/>
      <c r="P165" s="652"/>
      <c r="Q165" s="652"/>
    </row>
    <row r="166" spans="3:17" x14ac:dyDescent="0.3">
      <c r="C166" s="222" t="s">
        <v>218</v>
      </c>
      <c r="E166" s="2" t="s">
        <v>57</v>
      </c>
      <c r="F166" s="2" t="s">
        <v>58</v>
      </c>
      <c r="G166" s="2" t="s">
        <v>59</v>
      </c>
      <c r="H166" s="2" t="s">
        <v>2</v>
      </c>
      <c r="I166" s="2" t="s">
        <v>60</v>
      </c>
      <c r="J166" s="2" t="s">
        <v>61</v>
      </c>
      <c r="K166" s="2" t="s">
        <v>62</v>
      </c>
      <c r="L166" s="2" t="s">
        <v>63</v>
      </c>
      <c r="M166" s="2" t="s">
        <v>64</v>
      </c>
      <c r="N166" s="2" t="s">
        <v>65</v>
      </c>
      <c r="O166" s="2" t="s">
        <v>66</v>
      </c>
      <c r="P166" s="2" t="s">
        <v>67</v>
      </c>
      <c r="Q166" s="2" t="s">
        <v>14</v>
      </c>
    </row>
    <row r="167" spans="3:17" x14ac:dyDescent="0.3">
      <c r="C167" s="322">
        <v>0.96</v>
      </c>
      <c r="D167" s="3" t="s">
        <v>186</v>
      </c>
      <c r="E167" s="36"/>
      <c r="F167" s="36"/>
      <c r="G167" s="36"/>
      <c r="H167" s="36"/>
      <c r="I167" s="36"/>
      <c r="J167" s="36"/>
      <c r="K167" s="36"/>
      <c r="L167" s="36"/>
      <c r="M167" s="36"/>
      <c r="N167" s="36"/>
      <c r="O167" s="36"/>
      <c r="P167" s="36"/>
      <c r="Q167" s="37" t="e">
        <f>AVERAGE(E167:P167)</f>
        <v>#DIV/0!</v>
      </c>
    </row>
    <row r="168" spans="3:17" x14ac:dyDescent="0.3">
      <c r="C168" s="322">
        <v>0.97</v>
      </c>
      <c r="D168" s="3" t="s">
        <v>187</v>
      </c>
      <c r="E168" s="36"/>
      <c r="F168" s="36"/>
      <c r="G168" s="36"/>
      <c r="H168" s="36"/>
      <c r="I168" s="36"/>
      <c r="J168" s="36"/>
      <c r="K168" s="36"/>
      <c r="L168" s="36"/>
      <c r="M168" s="36"/>
      <c r="N168" s="36"/>
      <c r="O168" s="36"/>
      <c r="P168" s="36"/>
      <c r="Q168" s="37" t="e">
        <f>AVERAGE(E168:P168)</f>
        <v>#DIV/0!</v>
      </c>
    </row>
    <row r="169" spans="3:17" x14ac:dyDescent="0.3">
      <c r="C169" s="322">
        <v>0.7</v>
      </c>
      <c r="D169" s="3" t="s">
        <v>188</v>
      </c>
      <c r="E169" s="36"/>
      <c r="F169" s="36"/>
      <c r="G169" s="36"/>
      <c r="H169" s="36"/>
      <c r="I169" s="36"/>
      <c r="J169" s="36"/>
      <c r="K169" s="36"/>
      <c r="L169" s="36"/>
      <c r="M169" s="36"/>
      <c r="N169" s="36"/>
      <c r="O169" s="36"/>
      <c r="P169" s="36"/>
      <c r="Q169" s="37" t="e">
        <f>AVERAGE(E169:P169)</f>
        <v>#DIV/0!</v>
      </c>
    </row>
    <row r="170" spans="3:17" hidden="1" x14ac:dyDescent="0.3"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</row>
    <row r="171" spans="3:17" hidden="1" x14ac:dyDescent="0.3"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</row>
    <row r="172" spans="3:17" hidden="1" x14ac:dyDescent="0.3"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</row>
    <row r="173" spans="3:17" hidden="1" x14ac:dyDescent="0.3"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</row>
    <row r="174" spans="3:17" hidden="1" x14ac:dyDescent="0.3"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</row>
    <row r="175" spans="3:17" x14ac:dyDescent="0.3"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</row>
    <row r="176" spans="3:17" ht="21" x14ac:dyDescent="0.4">
      <c r="C176" s="1"/>
      <c r="D176" s="652" t="s">
        <v>189</v>
      </c>
      <c r="E176" s="652"/>
      <c r="F176" s="652"/>
      <c r="G176" s="652"/>
      <c r="H176" s="652"/>
      <c r="I176" s="652"/>
      <c r="J176" s="652"/>
      <c r="K176" s="652"/>
      <c r="L176" s="652"/>
      <c r="M176" s="652"/>
      <c r="N176" s="652"/>
      <c r="O176" s="652"/>
      <c r="P176" s="652"/>
      <c r="Q176" s="652"/>
    </row>
    <row r="177" spans="2:17" x14ac:dyDescent="0.3">
      <c r="B177" s="1"/>
      <c r="C177" s="222" t="s">
        <v>218</v>
      </c>
      <c r="E177" s="2" t="s">
        <v>57</v>
      </c>
      <c r="F177" s="2" t="s">
        <v>58</v>
      </c>
      <c r="G177" s="2" t="s">
        <v>59</v>
      </c>
      <c r="H177" s="2" t="s">
        <v>2</v>
      </c>
      <c r="I177" s="2" t="s">
        <v>60</v>
      </c>
      <c r="J177" s="2" t="s">
        <v>61</v>
      </c>
      <c r="K177" s="2" t="s">
        <v>62</v>
      </c>
      <c r="L177" s="2" t="s">
        <v>63</v>
      </c>
      <c r="M177" s="2" t="s">
        <v>64</v>
      </c>
      <c r="N177" s="2" t="s">
        <v>65</v>
      </c>
      <c r="O177" s="2" t="s">
        <v>66</v>
      </c>
      <c r="P177" s="2" t="s">
        <v>67</v>
      </c>
      <c r="Q177" s="2" t="s">
        <v>14</v>
      </c>
    </row>
    <row r="178" spans="2:17" x14ac:dyDescent="0.3">
      <c r="B178" s="1"/>
      <c r="C178" s="322">
        <v>0.96</v>
      </c>
      <c r="D178" s="3" t="s">
        <v>186</v>
      </c>
      <c r="E178" s="36">
        <v>1</v>
      </c>
      <c r="F178" s="36"/>
      <c r="G178" s="36"/>
      <c r="H178" s="36"/>
      <c r="I178" s="36"/>
      <c r="J178" s="36"/>
      <c r="K178" s="36"/>
      <c r="L178" s="36"/>
      <c r="M178" s="36"/>
      <c r="N178" s="36"/>
      <c r="O178" s="36"/>
      <c r="P178" s="36"/>
      <c r="Q178" s="37">
        <f>AVERAGE(E178:P178)</f>
        <v>1</v>
      </c>
    </row>
    <row r="179" spans="2:17" x14ac:dyDescent="0.3">
      <c r="B179" s="1"/>
      <c r="C179" s="322">
        <v>0.97</v>
      </c>
      <c r="D179" s="3" t="s">
        <v>187</v>
      </c>
      <c r="E179" s="36">
        <v>0.96860000000000002</v>
      </c>
      <c r="F179" s="36"/>
      <c r="G179" s="36"/>
      <c r="H179" s="36"/>
      <c r="I179" s="36"/>
      <c r="J179" s="36"/>
      <c r="K179" s="36"/>
      <c r="L179" s="36"/>
      <c r="M179" s="36"/>
      <c r="N179" s="36"/>
      <c r="O179" s="36"/>
      <c r="P179" s="36"/>
      <c r="Q179" s="37">
        <f>AVERAGE(E179:P179)</f>
        <v>0.96860000000000002</v>
      </c>
    </row>
    <row r="180" spans="2:17" x14ac:dyDescent="0.3">
      <c r="B180" s="1"/>
      <c r="C180" s="322">
        <v>0.7</v>
      </c>
      <c r="D180" s="3" t="s">
        <v>188</v>
      </c>
      <c r="E180" s="36"/>
      <c r="F180" s="36"/>
      <c r="G180" s="36"/>
      <c r="H180" s="36"/>
      <c r="I180" s="36"/>
      <c r="J180" s="36"/>
      <c r="K180" s="36"/>
      <c r="L180" s="36"/>
      <c r="M180" s="36"/>
      <c r="N180" s="36"/>
      <c r="O180" s="36"/>
      <c r="P180" s="36"/>
      <c r="Q180" s="37" t="e">
        <f>AVERAGE(E180:P180)</f>
        <v>#DIV/0!</v>
      </c>
    </row>
    <row r="181" spans="2:17" x14ac:dyDescent="0.3"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</row>
    <row r="182" spans="2:17" x14ac:dyDescent="0.3"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</row>
    <row r="183" spans="2:17" x14ac:dyDescent="0.3">
      <c r="B183" s="1"/>
      <c r="C183" s="1" t="s">
        <v>57</v>
      </c>
      <c r="D183" s="1" t="s">
        <v>58</v>
      </c>
      <c r="E183" s="1" t="s">
        <v>59</v>
      </c>
      <c r="F183" s="1" t="s">
        <v>2</v>
      </c>
      <c r="G183" s="1" t="s">
        <v>60</v>
      </c>
      <c r="H183" s="1" t="s">
        <v>61</v>
      </c>
      <c r="I183" s="1" t="s">
        <v>62</v>
      </c>
      <c r="J183" s="1" t="s">
        <v>63</v>
      </c>
      <c r="K183" s="1" t="s">
        <v>64</v>
      </c>
      <c r="L183" s="1" t="s">
        <v>65</v>
      </c>
      <c r="M183" s="1" t="s">
        <v>66</v>
      </c>
      <c r="N183" s="1" t="s">
        <v>67</v>
      </c>
      <c r="O183" s="1" t="s">
        <v>14</v>
      </c>
      <c r="P183" s="1"/>
      <c r="Q183" s="1"/>
    </row>
    <row r="184" spans="2:17" x14ac:dyDescent="0.3">
      <c r="B184" s="1" t="s">
        <v>190</v>
      </c>
      <c r="C184" s="38">
        <f>E167</f>
        <v>0</v>
      </c>
      <c r="D184" s="38">
        <f t="shared" ref="D184:O184" si="11">F167</f>
        <v>0</v>
      </c>
      <c r="E184" s="38">
        <f t="shared" si="11"/>
        <v>0</v>
      </c>
      <c r="F184" s="38">
        <f t="shared" si="11"/>
        <v>0</v>
      </c>
      <c r="G184" s="38">
        <f t="shared" si="11"/>
        <v>0</v>
      </c>
      <c r="H184" s="38">
        <f t="shared" si="11"/>
        <v>0</v>
      </c>
      <c r="I184" s="38">
        <f t="shared" si="11"/>
        <v>0</v>
      </c>
      <c r="J184" s="38">
        <f t="shared" si="11"/>
        <v>0</v>
      </c>
      <c r="K184" s="38">
        <f t="shared" si="11"/>
        <v>0</v>
      </c>
      <c r="L184" s="38">
        <f t="shared" si="11"/>
        <v>0</v>
      </c>
      <c r="M184" s="38">
        <f t="shared" si="11"/>
        <v>0</v>
      </c>
      <c r="N184" s="38">
        <f t="shared" si="11"/>
        <v>0</v>
      </c>
      <c r="O184" s="38" t="e">
        <f t="shared" si="11"/>
        <v>#DIV/0!</v>
      </c>
      <c r="P184" s="1"/>
      <c r="Q184" s="1"/>
    </row>
    <row r="185" spans="2:17" x14ac:dyDescent="0.3">
      <c r="B185" s="1" t="s">
        <v>191</v>
      </c>
      <c r="C185" s="38">
        <f>E168</f>
        <v>0</v>
      </c>
      <c r="D185" s="38">
        <f t="shared" ref="D185:O186" si="12">F168</f>
        <v>0</v>
      </c>
      <c r="E185" s="38">
        <f t="shared" si="12"/>
        <v>0</v>
      </c>
      <c r="F185" s="38">
        <f t="shared" si="12"/>
        <v>0</v>
      </c>
      <c r="G185" s="38">
        <f t="shared" si="12"/>
        <v>0</v>
      </c>
      <c r="H185" s="38">
        <f t="shared" si="12"/>
        <v>0</v>
      </c>
      <c r="I185" s="38">
        <f t="shared" si="12"/>
        <v>0</v>
      </c>
      <c r="J185" s="38">
        <f t="shared" si="12"/>
        <v>0</v>
      </c>
      <c r="K185" s="38">
        <f t="shared" si="12"/>
        <v>0</v>
      </c>
      <c r="L185" s="38">
        <f t="shared" si="12"/>
        <v>0</v>
      </c>
      <c r="M185" s="38">
        <f t="shared" si="12"/>
        <v>0</v>
      </c>
      <c r="N185" s="38">
        <f t="shared" si="12"/>
        <v>0</v>
      </c>
      <c r="O185" s="38" t="e">
        <f t="shared" si="12"/>
        <v>#DIV/0!</v>
      </c>
      <c r="P185" s="1"/>
      <c r="Q185" s="1"/>
    </row>
    <row r="186" spans="2:17" x14ac:dyDescent="0.3">
      <c r="B186" s="1" t="s">
        <v>192</v>
      </c>
      <c r="C186" s="38">
        <f>E169</f>
        <v>0</v>
      </c>
      <c r="D186" s="38">
        <f t="shared" si="12"/>
        <v>0</v>
      </c>
      <c r="E186" s="38">
        <f t="shared" si="12"/>
        <v>0</v>
      </c>
      <c r="F186" s="38">
        <f t="shared" si="12"/>
        <v>0</v>
      </c>
      <c r="G186" s="38">
        <f t="shared" si="12"/>
        <v>0</v>
      </c>
      <c r="H186" s="38">
        <f t="shared" si="12"/>
        <v>0</v>
      </c>
      <c r="I186" s="38">
        <f t="shared" si="12"/>
        <v>0</v>
      </c>
      <c r="J186" s="38">
        <f t="shared" si="12"/>
        <v>0</v>
      </c>
      <c r="K186" s="38">
        <f t="shared" si="12"/>
        <v>0</v>
      </c>
      <c r="L186" s="38">
        <f t="shared" si="12"/>
        <v>0</v>
      </c>
      <c r="M186" s="38">
        <f t="shared" si="12"/>
        <v>0</v>
      </c>
      <c r="N186" s="38">
        <f t="shared" si="12"/>
        <v>0</v>
      </c>
      <c r="O186" s="38" t="e">
        <f t="shared" si="12"/>
        <v>#DIV/0!</v>
      </c>
      <c r="P186" s="1"/>
      <c r="Q186" s="1"/>
    </row>
    <row r="187" spans="2:17" x14ac:dyDescent="0.3">
      <c r="B187" s="1" t="s">
        <v>193</v>
      </c>
      <c r="C187" s="38">
        <f>E178</f>
        <v>1</v>
      </c>
      <c r="D187" s="38">
        <f t="shared" ref="D187:O187" si="13">F178</f>
        <v>0</v>
      </c>
      <c r="E187" s="38">
        <f t="shared" si="13"/>
        <v>0</v>
      </c>
      <c r="F187" s="38">
        <f t="shared" si="13"/>
        <v>0</v>
      </c>
      <c r="G187" s="38">
        <f t="shared" si="13"/>
        <v>0</v>
      </c>
      <c r="H187" s="38">
        <f t="shared" si="13"/>
        <v>0</v>
      </c>
      <c r="I187" s="38">
        <f t="shared" si="13"/>
        <v>0</v>
      </c>
      <c r="J187" s="38">
        <f t="shared" si="13"/>
        <v>0</v>
      </c>
      <c r="K187" s="38">
        <f t="shared" si="13"/>
        <v>0</v>
      </c>
      <c r="L187" s="38">
        <f t="shared" si="13"/>
        <v>0</v>
      </c>
      <c r="M187" s="38">
        <f t="shared" si="13"/>
        <v>0</v>
      </c>
      <c r="N187" s="38">
        <f t="shared" si="13"/>
        <v>0</v>
      </c>
      <c r="O187" s="38">
        <f t="shared" si="13"/>
        <v>1</v>
      </c>
      <c r="P187" s="1"/>
      <c r="Q187" s="1"/>
    </row>
    <row r="188" spans="2:17" x14ac:dyDescent="0.3">
      <c r="B188" s="1" t="s">
        <v>194</v>
      </c>
      <c r="C188" s="38">
        <f>E179</f>
        <v>0.96860000000000002</v>
      </c>
      <c r="D188" s="38">
        <f t="shared" ref="D188:O189" si="14">F179</f>
        <v>0</v>
      </c>
      <c r="E188" s="38">
        <f t="shared" si="14"/>
        <v>0</v>
      </c>
      <c r="F188" s="38">
        <f t="shared" si="14"/>
        <v>0</v>
      </c>
      <c r="G188" s="38">
        <f t="shared" si="14"/>
        <v>0</v>
      </c>
      <c r="H188" s="38">
        <f t="shared" si="14"/>
        <v>0</v>
      </c>
      <c r="I188" s="38">
        <f t="shared" si="14"/>
        <v>0</v>
      </c>
      <c r="J188" s="38">
        <f t="shared" si="14"/>
        <v>0</v>
      </c>
      <c r="K188" s="38">
        <f t="shared" si="14"/>
        <v>0</v>
      </c>
      <c r="L188" s="38">
        <f t="shared" si="14"/>
        <v>0</v>
      </c>
      <c r="M188" s="38">
        <f t="shared" si="14"/>
        <v>0</v>
      </c>
      <c r="N188" s="38">
        <f t="shared" si="14"/>
        <v>0</v>
      </c>
      <c r="O188" s="38">
        <f t="shared" si="14"/>
        <v>0.96860000000000002</v>
      </c>
      <c r="P188" s="1"/>
      <c r="Q188" s="1"/>
    </row>
    <row r="189" spans="2:17" x14ac:dyDescent="0.3">
      <c r="B189" s="1" t="s">
        <v>195</v>
      </c>
      <c r="C189" s="38">
        <f>E180</f>
        <v>0</v>
      </c>
      <c r="D189" s="38">
        <f t="shared" si="14"/>
        <v>0</v>
      </c>
      <c r="E189" s="38">
        <f t="shared" si="14"/>
        <v>0</v>
      </c>
      <c r="F189" s="38">
        <f t="shared" si="14"/>
        <v>0</v>
      </c>
      <c r="G189" s="38">
        <f t="shared" si="14"/>
        <v>0</v>
      </c>
      <c r="H189" s="38">
        <f t="shared" si="14"/>
        <v>0</v>
      </c>
      <c r="I189" s="38">
        <f t="shared" si="14"/>
        <v>0</v>
      </c>
      <c r="J189" s="38">
        <f t="shared" si="14"/>
        <v>0</v>
      </c>
      <c r="K189" s="38">
        <f t="shared" si="14"/>
        <v>0</v>
      </c>
      <c r="L189" s="38">
        <f t="shared" si="14"/>
        <v>0</v>
      </c>
      <c r="M189" s="38">
        <f t="shared" si="14"/>
        <v>0</v>
      </c>
      <c r="N189" s="38">
        <f t="shared" si="14"/>
        <v>0</v>
      </c>
      <c r="O189" s="38" t="e">
        <f t="shared" si="14"/>
        <v>#DIV/0!</v>
      </c>
      <c r="P189" s="1"/>
      <c r="Q189" s="1"/>
    </row>
    <row r="197" spans="3:18" ht="15" thickBot="1" x14ac:dyDescent="0.35">
      <c r="C197" s="757" t="s">
        <v>196</v>
      </c>
      <c r="D197" s="758"/>
      <c r="E197" s="758"/>
      <c r="F197" s="758"/>
      <c r="G197" s="758"/>
      <c r="H197" s="758"/>
      <c r="I197" s="758"/>
      <c r="J197" s="759"/>
      <c r="K197" s="757" t="s">
        <v>197</v>
      </c>
      <c r="L197" s="758"/>
      <c r="M197" s="758"/>
      <c r="N197" s="758"/>
      <c r="O197" s="758"/>
      <c r="P197" s="758"/>
      <c r="Q197" s="758"/>
      <c r="R197" s="759"/>
    </row>
    <row r="198" spans="3:18" ht="15" thickBot="1" x14ac:dyDescent="0.35">
      <c r="C198" s="743" t="s">
        <v>198</v>
      </c>
      <c r="D198" s="739"/>
      <c r="E198" s="760" t="s">
        <v>199</v>
      </c>
      <c r="F198" s="761"/>
      <c r="G198" s="738" t="s">
        <v>181</v>
      </c>
      <c r="H198" s="737"/>
      <c r="I198" s="760" t="s">
        <v>152</v>
      </c>
      <c r="J198" s="761"/>
      <c r="K198" s="738" t="s">
        <v>198</v>
      </c>
      <c r="L198" s="737"/>
      <c r="M198" s="760" t="s">
        <v>199</v>
      </c>
      <c r="N198" s="761"/>
      <c r="O198" s="738" t="s">
        <v>181</v>
      </c>
      <c r="P198" s="737"/>
      <c r="Q198" s="743" t="s">
        <v>152</v>
      </c>
      <c r="R198" s="739"/>
    </row>
    <row r="199" spans="3:18" ht="45" customHeight="1" x14ac:dyDescent="0.3">
      <c r="C199" s="789"/>
      <c r="D199" s="790"/>
      <c r="E199" s="768"/>
      <c r="F199" s="768"/>
      <c r="G199" s="768"/>
      <c r="H199" s="768"/>
      <c r="I199" s="769"/>
      <c r="J199" s="770"/>
      <c r="K199" s="771"/>
      <c r="L199" s="769"/>
      <c r="M199" s="768"/>
      <c r="N199" s="768"/>
      <c r="O199" s="768"/>
      <c r="P199" s="768"/>
      <c r="Q199" s="787"/>
      <c r="R199" s="788"/>
    </row>
    <row r="200" spans="3:18" ht="45" customHeight="1" x14ac:dyDescent="0.3">
      <c r="C200" s="766"/>
      <c r="D200" s="767"/>
      <c r="E200" s="762"/>
      <c r="F200" s="763"/>
      <c r="G200" s="762"/>
      <c r="H200" s="763"/>
      <c r="I200" s="764"/>
      <c r="J200" s="765"/>
      <c r="K200" s="766"/>
      <c r="L200" s="767"/>
      <c r="M200" s="762"/>
      <c r="N200" s="763"/>
      <c r="O200" s="762"/>
      <c r="P200" s="763"/>
      <c r="Q200" s="764"/>
      <c r="R200" s="765"/>
    </row>
    <row r="201" spans="3:18" ht="45" customHeight="1" x14ac:dyDescent="0.3">
      <c r="C201" s="766"/>
      <c r="D201" s="767"/>
      <c r="E201" s="762"/>
      <c r="F201" s="763"/>
      <c r="G201" s="762"/>
      <c r="H201" s="763"/>
      <c r="I201" s="764"/>
      <c r="J201" s="765"/>
      <c r="K201" s="766"/>
      <c r="L201" s="767"/>
      <c r="M201" s="762"/>
      <c r="N201" s="763"/>
      <c r="O201" s="762"/>
      <c r="P201" s="763"/>
      <c r="Q201" s="764"/>
      <c r="R201" s="765"/>
    </row>
    <row r="202" spans="3:18" ht="45" customHeight="1" x14ac:dyDescent="0.3">
      <c r="C202" s="766"/>
      <c r="D202" s="767"/>
      <c r="E202" s="772"/>
      <c r="F202" s="772"/>
      <c r="G202" s="773"/>
      <c r="H202" s="773"/>
      <c r="I202" s="773"/>
      <c r="J202" s="774"/>
      <c r="K202" s="775"/>
      <c r="L202" s="773"/>
      <c r="M202" s="772"/>
      <c r="N202" s="772"/>
      <c r="O202" s="773"/>
      <c r="P202" s="773"/>
      <c r="Q202" s="764"/>
      <c r="R202" s="765"/>
    </row>
    <row r="203" spans="3:18" ht="45" customHeight="1" x14ac:dyDescent="0.3">
      <c r="C203" s="766"/>
      <c r="D203" s="767"/>
      <c r="E203" s="772"/>
      <c r="F203" s="772"/>
      <c r="G203" s="772"/>
      <c r="H203" s="772"/>
      <c r="I203" s="773"/>
      <c r="J203" s="774"/>
      <c r="K203" s="775"/>
      <c r="L203" s="773"/>
      <c r="M203" s="772"/>
      <c r="N203" s="772"/>
      <c r="O203" s="772"/>
      <c r="P203" s="772"/>
      <c r="Q203" s="764"/>
      <c r="R203" s="765"/>
    </row>
    <row r="204" spans="3:18" ht="45" customHeight="1" x14ac:dyDescent="0.3">
      <c r="C204" s="766"/>
      <c r="D204" s="767"/>
      <c r="E204" s="762"/>
      <c r="F204" s="763"/>
      <c r="G204" s="764"/>
      <c r="H204" s="767"/>
      <c r="I204" s="764"/>
      <c r="J204" s="765"/>
      <c r="K204" s="766"/>
      <c r="L204" s="767"/>
      <c r="M204" s="762"/>
      <c r="N204" s="763"/>
      <c r="O204" s="764"/>
      <c r="P204" s="767"/>
      <c r="Q204" s="764"/>
      <c r="R204" s="765"/>
    </row>
    <row r="205" spans="3:18" ht="45" customHeight="1" x14ac:dyDescent="0.3">
      <c r="C205" s="766"/>
      <c r="D205" s="767"/>
      <c r="E205" s="762"/>
      <c r="F205" s="763"/>
      <c r="G205" s="764"/>
      <c r="H205" s="767"/>
      <c r="I205" s="764"/>
      <c r="J205" s="765"/>
      <c r="K205" s="766"/>
      <c r="L205" s="767"/>
      <c r="M205" s="762"/>
      <c r="N205" s="763"/>
      <c r="O205" s="764"/>
      <c r="P205" s="767"/>
      <c r="Q205" s="764"/>
      <c r="R205" s="765"/>
    </row>
    <row r="206" spans="3:18" ht="45" customHeight="1" x14ac:dyDescent="0.3">
      <c r="C206" s="766"/>
      <c r="D206" s="767"/>
      <c r="E206" s="762"/>
      <c r="F206" s="763"/>
      <c r="G206" s="764"/>
      <c r="H206" s="767"/>
      <c r="I206" s="764"/>
      <c r="J206" s="765"/>
      <c r="K206" s="766"/>
      <c r="L206" s="767"/>
      <c r="M206" s="762"/>
      <c r="N206" s="763"/>
      <c r="O206" s="764"/>
      <c r="P206" s="767"/>
      <c r="Q206" s="764"/>
      <c r="R206" s="765"/>
    </row>
    <row r="207" spans="3:18" ht="45" customHeight="1" x14ac:dyDescent="0.3">
      <c r="C207" s="766"/>
      <c r="D207" s="767"/>
      <c r="E207" s="762"/>
      <c r="F207" s="763"/>
      <c r="G207" s="764"/>
      <c r="H207" s="767"/>
      <c r="I207" s="764"/>
      <c r="J207" s="765"/>
      <c r="K207" s="766"/>
      <c r="L207" s="767"/>
      <c r="M207" s="762"/>
      <c r="N207" s="763"/>
      <c r="O207" s="764"/>
      <c r="P207" s="767"/>
      <c r="Q207" s="764"/>
      <c r="R207" s="765"/>
    </row>
    <row r="208" spans="3:18" ht="45" customHeight="1" x14ac:dyDescent="0.3">
      <c r="C208" s="766"/>
      <c r="D208" s="767"/>
      <c r="E208" s="762"/>
      <c r="F208" s="763"/>
      <c r="G208" s="764"/>
      <c r="H208" s="767"/>
      <c r="I208" s="764"/>
      <c r="J208" s="765"/>
      <c r="K208" s="766"/>
      <c r="L208" s="767"/>
      <c r="M208" s="762"/>
      <c r="N208" s="763"/>
      <c r="O208" s="764"/>
      <c r="P208" s="767"/>
      <c r="Q208" s="764"/>
      <c r="R208" s="765"/>
    </row>
    <row r="209" spans="3:18" ht="45" customHeight="1" x14ac:dyDescent="0.3">
      <c r="C209" s="766"/>
      <c r="D209" s="767"/>
      <c r="E209" s="772"/>
      <c r="F209" s="772"/>
      <c r="G209" s="773"/>
      <c r="H209" s="773"/>
      <c r="I209" s="773"/>
      <c r="J209" s="774"/>
      <c r="K209" s="775"/>
      <c r="L209" s="773"/>
      <c r="M209" s="772"/>
      <c r="N209" s="772"/>
      <c r="O209" s="773"/>
      <c r="P209" s="773"/>
      <c r="Q209" s="764"/>
      <c r="R209" s="765"/>
    </row>
    <row r="210" spans="3:18" ht="45" customHeight="1" x14ac:dyDescent="0.3">
      <c r="C210" s="766"/>
      <c r="D210" s="767"/>
      <c r="E210" s="772"/>
      <c r="F210" s="772"/>
      <c r="G210" s="773"/>
      <c r="H210" s="773"/>
      <c r="I210" s="773"/>
      <c r="J210" s="774"/>
      <c r="K210" s="775"/>
      <c r="L210" s="773"/>
      <c r="M210" s="772"/>
      <c r="N210" s="772"/>
      <c r="O210" s="773"/>
      <c r="P210" s="773"/>
      <c r="Q210" s="764"/>
      <c r="R210" s="765"/>
    </row>
    <row r="211" spans="3:18" ht="45" customHeight="1" x14ac:dyDescent="0.3">
      <c r="C211" s="766"/>
      <c r="D211" s="767"/>
      <c r="E211" s="762"/>
      <c r="F211" s="763"/>
      <c r="G211" s="764"/>
      <c r="H211" s="767"/>
      <c r="I211" s="764"/>
      <c r="J211" s="765"/>
      <c r="K211" s="766"/>
      <c r="L211" s="767"/>
      <c r="M211" s="762"/>
      <c r="N211" s="763"/>
      <c r="O211" s="764"/>
      <c r="P211" s="767"/>
      <c r="Q211" s="764"/>
      <c r="R211" s="765"/>
    </row>
    <row r="212" spans="3:18" ht="45" customHeight="1" x14ac:dyDescent="0.3">
      <c r="C212" s="766"/>
      <c r="D212" s="767"/>
      <c r="E212" s="762"/>
      <c r="F212" s="763"/>
      <c r="G212" s="764"/>
      <c r="H212" s="767"/>
      <c r="I212" s="764"/>
      <c r="J212" s="765"/>
      <c r="K212" s="766"/>
      <c r="L212" s="767"/>
      <c r="M212" s="762"/>
      <c r="N212" s="763"/>
      <c r="O212" s="764"/>
      <c r="P212" s="767"/>
      <c r="Q212" s="764"/>
      <c r="R212" s="765"/>
    </row>
    <row r="213" spans="3:18" ht="45" customHeight="1" x14ac:dyDescent="0.3">
      <c r="C213" s="766"/>
      <c r="D213" s="767"/>
      <c r="E213" s="762"/>
      <c r="F213" s="763"/>
      <c r="G213" s="764"/>
      <c r="H213" s="767"/>
      <c r="I213" s="764"/>
      <c r="J213" s="765"/>
      <c r="K213" s="766"/>
      <c r="L213" s="767"/>
      <c r="M213" s="762"/>
      <c r="N213" s="763"/>
      <c r="O213" s="764"/>
      <c r="P213" s="767"/>
      <c r="Q213" s="764"/>
      <c r="R213" s="765"/>
    </row>
    <row r="214" spans="3:18" ht="45" customHeight="1" x14ac:dyDescent="0.3">
      <c r="C214" s="766"/>
      <c r="D214" s="767"/>
      <c r="E214" s="762"/>
      <c r="F214" s="763"/>
      <c r="G214" s="764"/>
      <c r="H214" s="767"/>
      <c r="I214" s="764"/>
      <c r="J214" s="765"/>
      <c r="K214" s="766"/>
      <c r="L214" s="767"/>
      <c r="M214" s="762"/>
      <c r="N214" s="763"/>
      <c r="O214" s="764"/>
      <c r="P214" s="767"/>
      <c r="Q214" s="764"/>
      <c r="R214" s="765"/>
    </row>
    <row r="215" spans="3:18" ht="45" customHeight="1" x14ac:dyDescent="0.3">
      <c r="C215" s="766"/>
      <c r="D215" s="767"/>
      <c r="E215" s="762"/>
      <c r="F215" s="763"/>
      <c r="G215" s="764"/>
      <c r="H215" s="767"/>
      <c r="I215" s="764"/>
      <c r="J215" s="765"/>
      <c r="K215" s="766"/>
      <c r="L215" s="767"/>
      <c r="M215" s="762"/>
      <c r="N215" s="763"/>
      <c r="O215" s="764"/>
      <c r="P215" s="767"/>
      <c r="Q215" s="764"/>
      <c r="R215" s="765"/>
    </row>
    <row r="216" spans="3:18" ht="45" customHeight="1" x14ac:dyDescent="0.3">
      <c r="C216" s="766"/>
      <c r="D216" s="767"/>
      <c r="E216" s="762"/>
      <c r="F216" s="763"/>
      <c r="G216" s="762"/>
      <c r="H216" s="763"/>
      <c r="I216" s="764"/>
      <c r="J216" s="765"/>
      <c r="K216" s="766"/>
      <c r="L216" s="767"/>
      <c r="M216" s="762"/>
      <c r="N216" s="763"/>
      <c r="O216" s="762"/>
      <c r="P216" s="763"/>
      <c r="Q216" s="764"/>
      <c r="R216" s="765"/>
    </row>
    <row r="217" spans="3:18" ht="45" customHeight="1" x14ac:dyDescent="0.3">
      <c r="C217" s="766"/>
      <c r="D217" s="767"/>
      <c r="E217" s="762"/>
      <c r="F217" s="763"/>
      <c r="G217" s="762"/>
      <c r="H217" s="763"/>
      <c r="I217" s="764"/>
      <c r="J217" s="765"/>
      <c r="K217" s="766"/>
      <c r="L217" s="767"/>
      <c r="M217" s="762"/>
      <c r="N217" s="763"/>
      <c r="O217" s="762"/>
      <c r="P217" s="763"/>
      <c r="Q217" s="764"/>
      <c r="R217" s="765"/>
    </row>
    <row r="218" spans="3:18" ht="45" customHeight="1" x14ac:dyDescent="0.3">
      <c r="C218" s="766"/>
      <c r="D218" s="767"/>
      <c r="E218" s="762"/>
      <c r="F218" s="763"/>
      <c r="G218" s="762"/>
      <c r="H218" s="763"/>
      <c r="I218" s="764"/>
      <c r="J218" s="765"/>
      <c r="K218" s="766"/>
      <c r="L218" s="767"/>
      <c r="M218" s="762"/>
      <c r="N218" s="763"/>
      <c r="O218" s="762"/>
      <c r="P218" s="763"/>
      <c r="Q218" s="764"/>
      <c r="R218" s="765"/>
    </row>
    <row r="219" spans="3:18" ht="45" customHeight="1" x14ac:dyDescent="0.3">
      <c r="C219" s="766"/>
      <c r="D219" s="767"/>
      <c r="E219" s="772"/>
      <c r="F219" s="772"/>
      <c r="G219" s="773"/>
      <c r="H219" s="773"/>
      <c r="I219" s="773"/>
      <c r="J219" s="774"/>
      <c r="K219" s="775"/>
      <c r="L219" s="773"/>
      <c r="M219" s="772"/>
      <c r="N219" s="772"/>
      <c r="O219" s="773"/>
      <c r="P219" s="773"/>
      <c r="Q219" s="764"/>
      <c r="R219" s="765"/>
    </row>
    <row r="220" spans="3:18" ht="45" customHeight="1" x14ac:dyDescent="0.3">
      <c r="C220" s="766"/>
      <c r="D220" s="767"/>
      <c r="E220" s="772"/>
      <c r="F220" s="772"/>
      <c r="G220" s="773"/>
      <c r="H220" s="773"/>
      <c r="I220" s="773"/>
      <c r="J220" s="774"/>
      <c r="K220" s="775"/>
      <c r="L220" s="773"/>
      <c r="M220" s="772"/>
      <c r="N220" s="772"/>
      <c r="O220" s="773"/>
      <c r="P220" s="773"/>
      <c r="Q220" s="764"/>
      <c r="R220" s="765"/>
    </row>
    <row r="221" spans="3:18" ht="45" customHeight="1" x14ac:dyDescent="0.3">
      <c r="C221" s="766"/>
      <c r="D221" s="767"/>
      <c r="E221" s="762"/>
      <c r="F221" s="763"/>
      <c r="G221" s="762"/>
      <c r="H221" s="763"/>
      <c r="I221" s="764"/>
      <c r="J221" s="765"/>
      <c r="K221" s="766"/>
      <c r="L221" s="767"/>
      <c r="M221" s="762"/>
      <c r="N221" s="763"/>
      <c r="O221" s="762"/>
      <c r="P221" s="763"/>
      <c r="Q221" s="764"/>
      <c r="R221" s="765"/>
    </row>
    <row r="222" spans="3:18" ht="45" customHeight="1" x14ac:dyDescent="0.3">
      <c r="C222" s="766"/>
      <c r="D222" s="767"/>
      <c r="E222" s="772"/>
      <c r="F222" s="772"/>
      <c r="G222" s="773"/>
      <c r="H222" s="773"/>
      <c r="I222" s="773"/>
      <c r="J222" s="774"/>
      <c r="K222" s="775"/>
      <c r="L222" s="773"/>
      <c r="M222" s="772"/>
      <c r="N222" s="772"/>
      <c r="O222" s="773"/>
      <c r="P222" s="773"/>
      <c r="Q222" s="764"/>
      <c r="R222" s="765"/>
    </row>
    <row r="223" spans="3:18" ht="45" customHeight="1" x14ac:dyDescent="0.3">
      <c r="C223" s="766"/>
      <c r="D223" s="767"/>
      <c r="E223" s="772"/>
      <c r="F223" s="772"/>
      <c r="G223" s="773"/>
      <c r="H223" s="773"/>
      <c r="I223" s="773"/>
      <c r="J223" s="774"/>
      <c r="K223" s="775"/>
      <c r="L223" s="773"/>
      <c r="M223" s="772"/>
      <c r="N223" s="772"/>
      <c r="O223" s="773"/>
      <c r="P223" s="773"/>
      <c r="Q223" s="764"/>
      <c r="R223" s="765"/>
    </row>
    <row r="224" spans="3:18" ht="45" customHeight="1" x14ac:dyDescent="0.3">
      <c r="C224" s="766"/>
      <c r="D224" s="767"/>
      <c r="E224" s="762"/>
      <c r="F224" s="763"/>
      <c r="G224" s="762"/>
      <c r="H224" s="763"/>
      <c r="I224" s="764"/>
      <c r="J224" s="765"/>
      <c r="K224" s="766"/>
      <c r="L224" s="767"/>
      <c r="M224" s="762"/>
      <c r="N224" s="763"/>
      <c r="O224" s="762"/>
      <c r="P224" s="763"/>
      <c r="Q224" s="764"/>
      <c r="R224" s="765"/>
    </row>
    <row r="225" spans="3:18" ht="45" customHeight="1" x14ac:dyDescent="0.3">
      <c r="C225" s="766"/>
      <c r="D225" s="767"/>
      <c r="E225" s="762"/>
      <c r="F225" s="763"/>
      <c r="G225" s="762"/>
      <c r="H225" s="763"/>
      <c r="I225" s="764"/>
      <c r="J225" s="765"/>
      <c r="K225" s="766"/>
      <c r="L225" s="767"/>
      <c r="M225" s="762"/>
      <c r="N225" s="763"/>
      <c r="O225" s="762"/>
      <c r="P225" s="763"/>
      <c r="Q225" s="764"/>
      <c r="R225" s="765"/>
    </row>
    <row r="226" spans="3:18" ht="45" customHeight="1" x14ac:dyDescent="0.3">
      <c r="C226" s="766"/>
      <c r="D226" s="767"/>
      <c r="E226" s="762"/>
      <c r="F226" s="763"/>
      <c r="G226" s="762"/>
      <c r="H226" s="763"/>
      <c r="I226" s="764"/>
      <c r="J226" s="765"/>
      <c r="K226" s="766"/>
      <c r="L226" s="767"/>
      <c r="M226" s="762"/>
      <c r="N226" s="763"/>
      <c r="O226" s="762"/>
      <c r="P226" s="763"/>
      <c r="Q226" s="764"/>
      <c r="R226" s="765"/>
    </row>
    <row r="227" spans="3:18" ht="45" customHeight="1" x14ac:dyDescent="0.3">
      <c r="C227" s="766"/>
      <c r="D227" s="767"/>
      <c r="E227" s="772"/>
      <c r="F227" s="772"/>
      <c r="G227" s="773"/>
      <c r="H227" s="773"/>
      <c r="I227" s="773"/>
      <c r="J227" s="774"/>
      <c r="K227" s="775"/>
      <c r="L227" s="773"/>
      <c r="M227" s="772"/>
      <c r="N227" s="772"/>
      <c r="O227" s="773"/>
      <c r="P227" s="773"/>
      <c r="Q227" s="764"/>
      <c r="R227" s="765"/>
    </row>
    <row r="228" spans="3:18" ht="45" customHeight="1" x14ac:dyDescent="0.3">
      <c r="C228" s="766"/>
      <c r="D228" s="767"/>
      <c r="E228" s="762"/>
      <c r="F228" s="763"/>
      <c r="G228" s="764"/>
      <c r="H228" s="767"/>
      <c r="I228" s="764"/>
      <c r="J228" s="765"/>
      <c r="K228" s="766"/>
      <c r="L228" s="767"/>
      <c r="M228" s="762"/>
      <c r="N228" s="763"/>
      <c r="O228" s="764"/>
      <c r="P228" s="767"/>
      <c r="Q228" s="764"/>
      <c r="R228" s="765"/>
    </row>
    <row r="229" spans="3:18" ht="45" customHeight="1" x14ac:dyDescent="0.3">
      <c r="C229" s="766"/>
      <c r="D229" s="767"/>
      <c r="E229" s="772"/>
      <c r="F229" s="772"/>
      <c r="G229" s="773"/>
      <c r="H229" s="773"/>
      <c r="I229" s="773"/>
      <c r="J229" s="774"/>
      <c r="K229" s="775"/>
      <c r="L229" s="773"/>
      <c r="M229" s="772"/>
      <c r="N229" s="772"/>
      <c r="O229" s="773"/>
      <c r="P229" s="773"/>
      <c r="Q229" s="764"/>
      <c r="R229" s="765"/>
    </row>
    <row r="230" spans="3:18" ht="45" customHeight="1" x14ac:dyDescent="0.3">
      <c r="C230" s="766"/>
      <c r="D230" s="767"/>
      <c r="E230" s="762"/>
      <c r="F230" s="763"/>
      <c r="G230" s="764"/>
      <c r="H230" s="767"/>
      <c r="I230" s="764"/>
      <c r="J230" s="765"/>
      <c r="K230" s="766"/>
      <c r="L230" s="767"/>
      <c r="M230" s="762"/>
      <c r="N230" s="763"/>
      <c r="O230" s="764"/>
      <c r="P230" s="767"/>
      <c r="Q230" s="764"/>
      <c r="R230" s="765"/>
    </row>
    <row r="231" spans="3:18" ht="45" customHeight="1" x14ac:dyDescent="0.3">
      <c r="C231" s="766"/>
      <c r="D231" s="767"/>
      <c r="E231" s="762"/>
      <c r="F231" s="763"/>
      <c r="G231" s="764"/>
      <c r="H231" s="767"/>
      <c r="I231" s="764"/>
      <c r="J231" s="765"/>
      <c r="K231" s="766"/>
      <c r="L231" s="767"/>
      <c r="M231" s="762"/>
      <c r="N231" s="763"/>
      <c r="O231" s="764"/>
      <c r="P231" s="767"/>
      <c r="Q231" s="764"/>
      <c r="R231" s="765"/>
    </row>
    <row r="232" spans="3:18" ht="45" customHeight="1" x14ac:dyDescent="0.3">
      <c r="C232" s="766"/>
      <c r="D232" s="767"/>
      <c r="E232" s="762"/>
      <c r="F232" s="763"/>
      <c r="G232" s="764"/>
      <c r="H232" s="767"/>
      <c r="I232" s="764"/>
      <c r="J232" s="765"/>
      <c r="K232" s="766"/>
      <c r="L232" s="767"/>
      <c r="M232" s="762"/>
      <c r="N232" s="763"/>
      <c r="O232" s="764"/>
      <c r="P232" s="767"/>
      <c r="Q232" s="764"/>
      <c r="R232" s="765"/>
    </row>
    <row r="233" spans="3:18" ht="45" customHeight="1" x14ac:dyDescent="0.3">
      <c r="C233" s="766"/>
      <c r="D233" s="767"/>
      <c r="E233" s="762"/>
      <c r="F233" s="763"/>
      <c r="G233" s="764"/>
      <c r="H233" s="767"/>
      <c r="I233" s="764"/>
      <c r="J233" s="765"/>
      <c r="K233" s="766"/>
      <c r="L233" s="767"/>
      <c r="M233" s="762"/>
      <c r="N233" s="763"/>
      <c r="O233" s="764"/>
      <c r="P233" s="767"/>
      <c r="Q233" s="764"/>
      <c r="R233" s="765"/>
    </row>
    <row r="234" spans="3:18" ht="45" customHeight="1" x14ac:dyDescent="0.3">
      <c r="C234" s="766"/>
      <c r="D234" s="767"/>
      <c r="E234" s="772"/>
      <c r="F234" s="772"/>
      <c r="G234" s="773"/>
      <c r="H234" s="773"/>
      <c r="I234" s="773"/>
      <c r="J234" s="774"/>
      <c r="K234" s="775"/>
      <c r="L234" s="773"/>
      <c r="M234" s="772"/>
      <c r="N234" s="772"/>
      <c r="O234" s="773"/>
      <c r="P234" s="773"/>
      <c r="Q234" s="764"/>
      <c r="R234" s="765"/>
    </row>
    <row r="235" spans="3:18" ht="45" customHeight="1" x14ac:dyDescent="0.3">
      <c r="C235" s="766"/>
      <c r="D235" s="767"/>
      <c r="E235" s="762"/>
      <c r="F235" s="763"/>
      <c r="G235" s="764"/>
      <c r="H235" s="767"/>
      <c r="I235" s="764"/>
      <c r="J235" s="765"/>
      <c r="K235" s="766"/>
      <c r="L235" s="767"/>
      <c r="M235" s="762"/>
      <c r="N235" s="763"/>
      <c r="O235" s="764"/>
      <c r="P235" s="767"/>
      <c r="Q235" s="764"/>
      <c r="R235" s="765"/>
    </row>
    <row r="236" spans="3:18" ht="45" customHeight="1" x14ac:dyDescent="0.3">
      <c r="C236" s="766"/>
      <c r="D236" s="767"/>
      <c r="E236" s="772"/>
      <c r="F236" s="772"/>
      <c r="G236" s="773"/>
      <c r="H236" s="773"/>
      <c r="I236" s="773"/>
      <c r="J236" s="774"/>
      <c r="K236" s="775"/>
      <c r="L236" s="773"/>
      <c r="M236" s="772"/>
      <c r="N236" s="772"/>
      <c r="O236" s="773"/>
      <c r="P236" s="773"/>
      <c r="Q236" s="764"/>
      <c r="R236" s="765"/>
    </row>
    <row r="237" spans="3:18" ht="45" customHeight="1" x14ac:dyDescent="0.3">
      <c r="C237" s="766"/>
      <c r="D237" s="767"/>
      <c r="E237" s="762"/>
      <c r="F237" s="763"/>
      <c r="G237" s="764"/>
      <c r="H237" s="767"/>
      <c r="I237" s="764"/>
      <c r="J237" s="765"/>
      <c r="K237" s="766"/>
      <c r="L237" s="767"/>
      <c r="M237" s="762"/>
      <c r="N237" s="763"/>
      <c r="O237" s="764"/>
      <c r="P237" s="767"/>
      <c r="Q237" s="764"/>
      <c r="R237" s="765"/>
    </row>
    <row r="238" spans="3:18" ht="45" customHeight="1" thickBot="1" x14ac:dyDescent="0.35">
      <c r="C238" s="781"/>
      <c r="D238" s="782"/>
      <c r="E238" s="783"/>
      <c r="F238" s="783"/>
      <c r="G238" s="784"/>
      <c r="H238" s="784"/>
      <c r="I238" s="784"/>
      <c r="J238" s="785"/>
      <c r="K238" s="786"/>
      <c r="L238" s="784"/>
      <c r="M238" s="783"/>
      <c r="N238" s="783"/>
      <c r="O238" s="784"/>
      <c r="P238" s="784"/>
      <c r="Q238" s="779"/>
      <c r="R238" s="780"/>
    </row>
    <row r="243" spans="3:16" ht="15" thickBot="1" x14ac:dyDescent="0.35">
      <c r="C243" s="68" t="s">
        <v>31</v>
      </c>
      <c r="D243" s="258" t="s">
        <v>57</v>
      </c>
      <c r="E243" s="258" t="s">
        <v>58</v>
      </c>
      <c r="F243" s="258" t="s">
        <v>59</v>
      </c>
      <c r="G243" s="258" t="s">
        <v>2</v>
      </c>
      <c r="H243" s="258" t="s">
        <v>60</v>
      </c>
      <c r="I243" s="258" t="s">
        <v>61</v>
      </c>
      <c r="J243" s="258" t="s">
        <v>62</v>
      </c>
      <c r="K243" s="258" t="s">
        <v>63</v>
      </c>
      <c r="L243" s="258" t="s">
        <v>64</v>
      </c>
      <c r="M243" s="258" t="s">
        <v>65</v>
      </c>
      <c r="N243" s="258" t="s">
        <v>66</v>
      </c>
      <c r="O243" s="281" t="s">
        <v>67</v>
      </c>
      <c r="P243" s="285" t="s">
        <v>14</v>
      </c>
    </row>
    <row r="244" spans="3:16" ht="15" thickBot="1" x14ac:dyDescent="0.35">
      <c r="C244" s="284"/>
      <c r="D244" s="309"/>
      <c r="E244" s="309"/>
      <c r="F244" s="309"/>
      <c r="G244" s="309"/>
      <c r="H244" s="309"/>
      <c r="I244" s="309"/>
      <c r="J244" s="309"/>
      <c r="K244" s="309"/>
      <c r="L244" s="309"/>
      <c r="M244" s="309"/>
      <c r="N244" s="309"/>
      <c r="O244" s="309"/>
      <c r="P244" s="310"/>
    </row>
    <row r="245" spans="3:16" x14ac:dyDescent="0.3">
      <c r="C245" s="314" t="s">
        <v>247</v>
      </c>
      <c r="D245" s="315" t="str">
        <f>IF(E37&lt;0,"OK","NOK")</f>
        <v>OK</v>
      </c>
      <c r="E245" s="315" t="str">
        <f t="shared" ref="E245:O245" si="15">IF(F37&lt;0,"OK","NOK")</f>
        <v>NOK</v>
      </c>
      <c r="F245" s="315" t="str">
        <f t="shared" si="15"/>
        <v>NOK</v>
      </c>
      <c r="G245" s="315" t="str">
        <f t="shared" si="15"/>
        <v>NOK</v>
      </c>
      <c r="H245" s="315" t="str">
        <f t="shared" si="15"/>
        <v>NOK</v>
      </c>
      <c r="I245" s="315" t="str">
        <f t="shared" si="15"/>
        <v>NOK</v>
      </c>
      <c r="J245" s="315" t="str">
        <f t="shared" si="15"/>
        <v>NOK</v>
      </c>
      <c r="K245" s="315" t="str">
        <f t="shared" si="15"/>
        <v>NOK</v>
      </c>
      <c r="L245" s="315" t="str">
        <f t="shared" si="15"/>
        <v>NOK</v>
      </c>
      <c r="M245" s="315" t="str">
        <f t="shared" si="15"/>
        <v>NOK</v>
      </c>
      <c r="N245" s="315" t="str">
        <f t="shared" si="15"/>
        <v>NOK</v>
      </c>
      <c r="O245" s="315" t="str">
        <f t="shared" si="15"/>
        <v>NOK</v>
      </c>
      <c r="P245" s="316">
        <f>+COUNTIF(D245:O245,"OK")</f>
        <v>1</v>
      </c>
    </row>
    <row r="246" spans="3:16" ht="15" hidden="1" thickBot="1" x14ac:dyDescent="0.35">
      <c r="C246" s="317" t="s">
        <v>241</v>
      </c>
      <c r="D246" s="318" t="str">
        <f>IF(H168&lt;=$A169,"OK","NOK")</f>
        <v>OK</v>
      </c>
      <c r="E246" s="318" t="str">
        <f>IF(H169&lt;=$A169,"OK","NOK")</f>
        <v>OK</v>
      </c>
      <c r="F246" s="318" t="str">
        <f>IF(H172&lt;=$A169,"OK","NOK")</f>
        <v>OK</v>
      </c>
      <c r="G246" s="318" t="str">
        <f>IF(H175&lt;=$A169,"OK","NOK")</f>
        <v>OK</v>
      </c>
      <c r="H246" s="318" t="str">
        <f>IF(H178&lt;=$A169,"OK","NOK")</f>
        <v>OK</v>
      </c>
      <c r="I246" s="318" t="str">
        <f>IF(H181&lt;=$A169,"OK","NOK")</f>
        <v>OK</v>
      </c>
      <c r="J246" s="318" t="str">
        <f>IF(H184&lt;=$A169,"OK","NOK")</f>
        <v>OK</v>
      </c>
      <c r="K246" s="318" t="str">
        <f>IF(H187&lt;=$A169,"OK","NOK")</f>
        <v>OK</v>
      </c>
      <c r="L246" s="318" t="str">
        <f>IF(H168&lt;=$A169,"OK","NOK")</f>
        <v>OK</v>
      </c>
      <c r="M246" s="318" t="str">
        <f>IF(H190&lt;=$A169,"OK","NOK")</f>
        <v>OK</v>
      </c>
      <c r="N246" s="318" t="str">
        <f>IF(H196&lt;=$A169,"OK","NOK")</f>
        <v>OK</v>
      </c>
      <c r="O246" s="318" t="str">
        <f>IF(H199&lt;=$A169,"OK","NOK")</f>
        <v>OK</v>
      </c>
      <c r="P246" s="319">
        <f>+COUNTIF(D246:O246,"OK")</f>
        <v>12</v>
      </c>
    </row>
    <row r="247" spans="3:16" x14ac:dyDescent="0.3">
      <c r="C247" s="311" t="s">
        <v>186</v>
      </c>
      <c r="D247" s="274" t="str">
        <f>IF(E167&gt;$C167,"OK","NOK")</f>
        <v>NOK</v>
      </c>
      <c r="E247" s="274" t="str">
        <f t="shared" ref="E247:O247" si="16">IF(F167&gt;$C167,"OK","NOK")</f>
        <v>NOK</v>
      </c>
      <c r="F247" s="274" t="str">
        <f t="shared" si="16"/>
        <v>NOK</v>
      </c>
      <c r="G247" s="274" t="str">
        <f t="shared" si="16"/>
        <v>NOK</v>
      </c>
      <c r="H247" s="274" t="str">
        <f t="shared" si="16"/>
        <v>NOK</v>
      </c>
      <c r="I247" s="274" t="str">
        <f t="shared" si="16"/>
        <v>NOK</v>
      </c>
      <c r="J247" s="274" t="str">
        <f t="shared" si="16"/>
        <v>NOK</v>
      </c>
      <c r="K247" s="274" t="str">
        <f t="shared" si="16"/>
        <v>NOK</v>
      </c>
      <c r="L247" s="274" t="str">
        <f t="shared" si="16"/>
        <v>NOK</v>
      </c>
      <c r="M247" s="274" t="str">
        <f t="shared" si="16"/>
        <v>NOK</v>
      </c>
      <c r="N247" s="274" t="str">
        <f t="shared" si="16"/>
        <v>NOK</v>
      </c>
      <c r="O247" s="274" t="str">
        <f t="shared" si="16"/>
        <v>NOK</v>
      </c>
      <c r="P247" s="288">
        <f>+COUNTIF(D247:O247,"OK")</f>
        <v>0</v>
      </c>
    </row>
    <row r="248" spans="3:16" x14ac:dyDescent="0.3">
      <c r="C248" s="312" t="s">
        <v>246</v>
      </c>
      <c r="D248" s="274" t="str">
        <f>IF(E168&gt;$C168,"OK","NOK")</f>
        <v>NOK</v>
      </c>
      <c r="E248" s="274" t="str">
        <f t="shared" ref="E248:O249" si="17">IF(F168&gt;$C168,"OK","NOK")</f>
        <v>NOK</v>
      </c>
      <c r="F248" s="274" t="str">
        <f t="shared" si="17"/>
        <v>NOK</v>
      </c>
      <c r="G248" s="274" t="str">
        <f t="shared" si="17"/>
        <v>NOK</v>
      </c>
      <c r="H248" s="274" t="str">
        <f t="shared" si="17"/>
        <v>NOK</v>
      </c>
      <c r="I248" s="274" t="str">
        <f t="shared" si="17"/>
        <v>NOK</v>
      </c>
      <c r="J248" s="274" t="str">
        <f t="shared" si="17"/>
        <v>NOK</v>
      </c>
      <c r="K248" s="274" t="str">
        <f t="shared" si="17"/>
        <v>NOK</v>
      </c>
      <c r="L248" s="274" t="str">
        <f t="shared" si="17"/>
        <v>NOK</v>
      </c>
      <c r="M248" s="274" t="str">
        <f t="shared" si="17"/>
        <v>NOK</v>
      </c>
      <c r="N248" s="274" t="str">
        <f t="shared" si="17"/>
        <v>NOK</v>
      </c>
      <c r="O248" s="274" t="str">
        <f t="shared" si="17"/>
        <v>NOK</v>
      </c>
      <c r="P248" s="288">
        <f>+COUNTIF(D248:O248,"OK")</f>
        <v>0</v>
      </c>
    </row>
    <row r="249" spans="3:16" ht="15" thickBot="1" x14ac:dyDescent="0.35">
      <c r="C249" s="278" t="s">
        <v>251</v>
      </c>
      <c r="D249" s="274" t="str">
        <f>IF(E169&gt;$C169,"OK","NOK")</f>
        <v>NOK</v>
      </c>
      <c r="E249" s="274" t="str">
        <f t="shared" si="17"/>
        <v>NOK</v>
      </c>
      <c r="F249" s="274" t="str">
        <f t="shared" si="17"/>
        <v>NOK</v>
      </c>
      <c r="G249" s="274" t="str">
        <f t="shared" si="17"/>
        <v>NOK</v>
      </c>
      <c r="H249" s="274" t="str">
        <f t="shared" si="17"/>
        <v>NOK</v>
      </c>
      <c r="I249" s="274" t="str">
        <f t="shared" si="17"/>
        <v>NOK</v>
      </c>
      <c r="J249" s="274" t="str">
        <f t="shared" si="17"/>
        <v>NOK</v>
      </c>
      <c r="K249" s="274" t="str">
        <f t="shared" si="17"/>
        <v>NOK</v>
      </c>
      <c r="L249" s="274" t="str">
        <f t="shared" si="17"/>
        <v>NOK</v>
      </c>
      <c r="M249" s="274" t="str">
        <f t="shared" si="17"/>
        <v>NOK</v>
      </c>
      <c r="N249" s="274" t="str">
        <f t="shared" si="17"/>
        <v>NOK</v>
      </c>
      <c r="O249" s="274" t="str">
        <f t="shared" si="17"/>
        <v>NOK</v>
      </c>
      <c r="P249" s="288">
        <f>+COUNTIF(D249:O249,"OK")</f>
        <v>0</v>
      </c>
    </row>
    <row r="250" spans="3:16" hidden="1" x14ac:dyDescent="0.3">
      <c r="C250" s="279" t="s">
        <v>245</v>
      </c>
      <c r="D250" s="274" t="str">
        <f t="shared" ref="D250:O250" si="18">IF(D61&lt;$A61,"OK","NOK")</f>
        <v>OK</v>
      </c>
      <c r="E250" s="274" t="str">
        <f t="shared" si="18"/>
        <v>OK</v>
      </c>
      <c r="F250" s="274" t="str">
        <f t="shared" si="18"/>
        <v>OK</v>
      </c>
      <c r="G250" s="274" t="str">
        <f t="shared" si="18"/>
        <v>OK</v>
      </c>
      <c r="H250" s="274" t="str">
        <f t="shared" si="18"/>
        <v>OK</v>
      </c>
      <c r="I250" s="274" t="str">
        <f t="shared" si="18"/>
        <v>OK</v>
      </c>
      <c r="J250" s="274" t="str">
        <f t="shared" si="18"/>
        <v>OK</v>
      </c>
      <c r="K250" s="274" t="str">
        <f t="shared" si="18"/>
        <v>OK</v>
      </c>
      <c r="L250" s="274" t="str">
        <f t="shared" si="18"/>
        <v>OK</v>
      </c>
      <c r="M250" s="274" t="str">
        <f t="shared" si="18"/>
        <v>OK</v>
      </c>
      <c r="N250" s="274" t="str">
        <f t="shared" si="18"/>
        <v>OK</v>
      </c>
      <c r="O250" s="274" t="str">
        <f t="shared" si="18"/>
        <v>OK</v>
      </c>
      <c r="P250" s="118"/>
    </row>
    <row r="251" spans="3:16" hidden="1" x14ac:dyDescent="0.3">
      <c r="C251" s="279" t="s">
        <v>244</v>
      </c>
      <c r="D251" s="274" t="str">
        <f t="shared" ref="D251:O251" si="19">IF(D62&lt;$A62,"OK","NOK")</f>
        <v>NOK</v>
      </c>
      <c r="E251" s="274" t="str">
        <f t="shared" si="19"/>
        <v>OK</v>
      </c>
      <c r="F251" s="274" t="str">
        <f t="shared" si="19"/>
        <v>NOK</v>
      </c>
      <c r="G251" s="274" t="str">
        <f t="shared" si="19"/>
        <v>NOK</v>
      </c>
      <c r="H251" s="274" t="e">
        <f t="shared" si="19"/>
        <v>#DIV/0!</v>
      </c>
      <c r="I251" s="274" t="str">
        <f t="shared" si="19"/>
        <v>NOK</v>
      </c>
      <c r="J251" s="274" t="str">
        <f t="shared" si="19"/>
        <v>OK</v>
      </c>
      <c r="K251" s="274" t="str">
        <f t="shared" si="19"/>
        <v>NOK</v>
      </c>
      <c r="L251" s="274" t="str">
        <f t="shared" si="19"/>
        <v>OK</v>
      </c>
      <c r="M251" s="274" t="str">
        <f t="shared" si="19"/>
        <v>NOK</v>
      </c>
      <c r="N251" s="274" t="str">
        <f t="shared" si="19"/>
        <v>OK</v>
      </c>
      <c r="O251" s="274" t="str">
        <f t="shared" si="19"/>
        <v>NOK</v>
      </c>
      <c r="P251" s="118"/>
    </row>
    <row r="252" spans="3:16" ht="15" hidden="1" thickBot="1" x14ac:dyDescent="0.35">
      <c r="C252" s="313"/>
      <c r="D252" s="274" t="str">
        <f t="shared" ref="D252:O252" si="20">IF(D63=$A63,"OK","NOK")</f>
        <v>NOK</v>
      </c>
      <c r="E252" s="274" t="str">
        <f t="shared" si="20"/>
        <v>NOK</v>
      </c>
      <c r="F252" s="274" t="str">
        <f t="shared" si="20"/>
        <v>NOK</v>
      </c>
      <c r="G252" s="274" t="str">
        <f t="shared" si="20"/>
        <v>NOK</v>
      </c>
      <c r="H252" s="274" t="str">
        <f t="shared" si="20"/>
        <v>NOK</v>
      </c>
      <c r="I252" s="274" t="str">
        <f t="shared" si="20"/>
        <v>NOK</v>
      </c>
      <c r="J252" s="274" t="str">
        <f t="shared" si="20"/>
        <v>NOK</v>
      </c>
      <c r="K252" s="274" t="str">
        <f t="shared" si="20"/>
        <v>NOK</v>
      </c>
      <c r="L252" s="274" t="str">
        <f t="shared" si="20"/>
        <v>NOK</v>
      </c>
      <c r="M252" s="274" t="str">
        <f t="shared" si="20"/>
        <v>NOK</v>
      </c>
      <c r="N252" s="274" t="str">
        <f t="shared" si="20"/>
        <v>NOK</v>
      </c>
      <c r="O252" s="274" t="str">
        <f t="shared" si="20"/>
        <v>NOK</v>
      </c>
      <c r="P252" s="118"/>
    </row>
    <row r="253" spans="3:16" ht="15" thickBot="1" x14ac:dyDescent="0.35">
      <c r="C253" s="305" t="s">
        <v>231</v>
      </c>
      <c r="D253" s="292">
        <f>COUNTIF(D244:D252,"OK")</f>
        <v>3</v>
      </c>
      <c r="E253" s="293">
        <f t="shared" ref="E253:O253" si="21">COUNTIF(E244:E252,"OK")</f>
        <v>3</v>
      </c>
      <c r="F253" s="293">
        <f t="shared" si="21"/>
        <v>2</v>
      </c>
      <c r="G253" s="293">
        <f t="shared" si="21"/>
        <v>2</v>
      </c>
      <c r="H253" s="293">
        <f t="shared" si="21"/>
        <v>2</v>
      </c>
      <c r="I253" s="293">
        <f t="shared" si="21"/>
        <v>2</v>
      </c>
      <c r="J253" s="293">
        <f t="shared" si="21"/>
        <v>3</v>
      </c>
      <c r="K253" s="293">
        <f t="shared" si="21"/>
        <v>2</v>
      </c>
      <c r="L253" s="293">
        <f t="shared" si="21"/>
        <v>3</v>
      </c>
      <c r="M253" s="293">
        <f t="shared" si="21"/>
        <v>2</v>
      </c>
      <c r="N253" s="293">
        <f t="shared" si="21"/>
        <v>3</v>
      </c>
      <c r="O253" s="294">
        <f t="shared" si="21"/>
        <v>2</v>
      </c>
      <c r="P253" s="295">
        <f>SUM(P244:P252)</f>
        <v>13</v>
      </c>
    </row>
    <row r="254" spans="3:16" ht="15" thickBot="1" x14ac:dyDescent="0.35">
      <c r="C254" s="305" t="s">
        <v>232</v>
      </c>
      <c r="D254" s="296">
        <f>D253/9</f>
        <v>0.33333333333333331</v>
      </c>
      <c r="E254" s="297">
        <f t="shared" ref="E254:O254" si="22">E253/9</f>
        <v>0.33333333333333331</v>
      </c>
      <c r="F254" s="297">
        <f t="shared" si="22"/>
        <v>0.22222222222222221</v>
      </c>
      <c r="G254" s="297">
        <f t="shared" si="22"/>
        <v>0.22222222222222221</v>
      </c>
      <c r="H254" s="297">
        <f t="shared" si="22"/>
        <v>0.22222222222222221</v>
      </c>
      <c r="I254" s="297">
        <f t="shared" si="22"/>
        <v>0.22222222222222221</v>
      </c>
      <c r="J254" s="297">
        <f t="shared" si="22"/>
        <v>0.33333333333333331</v>
      </c>
      <c r="K254" s="297">
        <f t="shared" si="22"/>
        <v>0.22222222222222221</v>
      </c>
      <c r="L254" s="297">
        <f t="shared" si="22"/>
        <v>0.33333333333333331</v>
      </c>
      <c r="M254" s="297">
        <f t="shared" si="22"/>
        <v>0.22222222222222221</v>
      </c>
      <c r="N254" s="297">
        <f t="shared" si="22"/>
        <v>0.33333333333333331</v>
      </c>
      <c r="O254" s="298">
        <f t="shared" si="22"/>
        <v>0.22222222222222221</v>
      </c>
      <c r="P254" s="299">
        <f>P253/108</f>
        <v>0.12037037037037036</v>
      </c>
    </row>
    <row r="255" spans="3:16" ht="15" thickBot="1" x14ac:dyDescent="0.35">
      <c r="C255" s="284"/>
      <c r="D255" s="264"/>
      <c r="E255" s="264"/>
      <c r="F255" s="264"/>
      <c r="G255" s="264"/>
      <c r="H255" s="264"/>
      <c r="I255" s="264"/>
      <c r="J255" s="264"/>
      <c r="K255" s="264"/>
      <c r="L255" s="264"/>
      <c r="M255" s="264"/>
      <c r="N255" s="264"/>
      <c r="O255" s="264"/>
      <c r="P255" s="289"/>
    </row>
    <row r="256" spans="3:16" x14ac:dyDescent="0.3">
      <c r="C256" s="314" t="s">
        <v>247</v>
      </c>
      <c r="D256" s="315" t="str">
        <f>IF(E38&lt;0,"OK","NOK")</f>
        <v>NOK</v>
      </c>
      <c r="E256" s="315" t="str">
        <f t="shared" ref="E256:O256" si="23">IF(F38&lt;0,"OK","NOK")</f>
        <v>NOK</v>
      </c>
      <c r="F256" s="315" t="str">
        <f t="shared" si="23"/>
        <v>NOK</v>
      </c>
      <c r="G256" s="315" t="str">
        <f t="shared" si="23"/>
        <v>NOK</v>
      </c>
      <c r="H256" s="315" t="str">
        <f t="shared" si="23"/>
        <v>NOK</v>
      </c>
      <c r="I256" s="315" t="str">
        <f t="shared" si="23"/>
        <v>NOK</v>
      </c>
      <c r="J256" s="315" t="str">
        <f t="shared" si="23"/>
        <v>NOK</v>
      </c>
      <c r="K256" s="315" t="str">
        <f t="shared" si="23"/>
        <v>NOK</v>
      </c>
      <c r="L256" s="315" t="str">
        <f t="shared" si="23"/>
        <v>NOK</v>
      </c>
      <c r="M256" s="315" t="str">
        <f t="shared" si="23"/>
        <v>NOK</v>
      </c>
      <c r="N256" s="315" t="str">
        <f t="shared" si="23"/>
        <v>NOK</v>
      </c>
      <c r="O256" s="315" t="str">
        <f t="shared" si="23"/>
        <v>NOK</v>
      </c>
      <c r="P256" s="316">
        <f>+COUNTIF(D256:O256,"OK")</f>
        <v>0</v>
      </c>
    </row>
    <row r="257" spans="3:16" ht="15" hidden="1" thickBot="1" x14ac:dyDescent="0.35">
      <c r="C257" s="317" t="s">
        <v>241</v>
      </c>
      <c r="D257" s="318" t="str">
        <f>IF(P168&lt;=$A169,"OK","NOK")</f>
        <v>OK</v>
      </c>
      <c r="E257" s="318" t="str">
        <f>IF(P169&lt;=$A169,"OK","NOK")</f>
        <v>OK</v>
      </c>
      <c r="F257" s="318" t="str">
        <f>IF(P172&lt;=$A169,"OK","NOK")</f>
        <v>OK</v>
      </c>
      <c r="G257" s="318" t="str">
        <f>IF(P175&lt;=$A169,"OK","NOK")</f>
        <v>OK</v>
      </c>
      <c r="H257" s="318" t="str">
        <f>IF(P178&lt;=$A169,"OK","NOK")</f>
        <v>OK</v>
      </c>
      <c r="I257" s="318" t="str">
        <f>IF(P181&lt;=$A169,"OK","NOK")</f>
        <v>OK</v>
      </c>
      <c r="J257" s="318" t="str">
        <f>IF(P184&lt;=$A169,"OK","NOK")</f>
        <v>OK</v>
      </c>
      <c r="K257" s="318" t="str">
        <f>IF(P187&lt;=$A169,"OK","NOK")</f>
        <v>OK</v>
      </c>
      <c r="L257" s="318" t="str">
        <f>IF(P190&lt;=$A169,"OK","NOK")</f>
        <v>OK</v>
      </c>
      <c r="M257" s="318" t="str">
        <f>IF(P193&lt;=$A169,"OK","NOK")</f>
        <v>OK</v>
      </c>
      <c r="N257" s="318" t="str">
        <f>IF(P196&lt;=$A169,"OK","NOK")</f>
        <v>OK</v>
      </c>
      <c r="O257" s="318" t="str">
        <f>IF(P199&lt;=$A169,"OK","NOK")</f>
        <v>OK</v>
      </c>
      <c r="P257" s="319">
        <f>+COUNTIF(D257:O257,"OK")</f>
        <v>12</v>
      </c>
    </row>
    <row r="258" spans="3:16" x14ac:dyDescent="0.3">
      <c r="C258" s="311" t="s">
        <v>186</v>
      </c>
      <c r="D258" s="274" t="str">
        <f>IF(E178&gt;$C178,"OK","NOK")</f>
        <v>OK</v>
      </c>
      <c r="E258" s="274" t="str">
        <f t="shared" ref="E258:O258" si="24">IF(F178&gt;$C178,"OK","NOK")</f>
        <v>NOK</v>
      </c>
      <c r="F258" s="274" t="str">
        <f t="shared" si="24"/>
        <v>NOK</v>
      </c>
      <c r="G258" s="274" t="str">
        <f t="shared" si="24"/>
        <v>NOK</v>
      </c>
      <c r="H258" s="274" t="str">
        <f t="shared" si="24"/>
        <v>NOK</v>
      </c>
      <c r="I258" s="274" t="str">
        <f t="shared" si="24"/>
        <v>NOK</v>
      </c>
      <c r="J258" s="274" t="str">
        <f t="shared" si="24"/>
        <v>NOK</v>
      </c>
      <c r="K258" s="274" t="str">
        <f t="shared" si="24"/>
        <v>NOK</v>
      </c>
      <c r="L258" s="274" t="str">
        <f t="shared" si="24"/>
        <v>NOK</v>
      </c>
      <c r="M258" s="274" t="str">
        <f t="shared" si="24"/>
        <v>NOK</v>
      </c>
      <c r="N258" s="274" t="str">
        <f t="shared" si="24"/>
        <v>NOK</v>
      </c>
      <c r="O258" s="274" t="str">
        <f t="shared" si="24"/>
        <v>NOK</v>
      </c>
      <c r="P258" s="288">
        <f>+COUNTIF(D258:O258,"OK")</f>
        <v>1</v>
      </c>
    </row>
    <row r="259" spans="3:16" x14ac:dyDescent="0.3">
      <c r="C259" s="312" t="s">
        <v>246</v>
      </c>
      <c r="D259" s="274" t="str">
        <f>IF(E179&gt;$C179,"OK","NOK")</f>
        <v>NOK</v>
      </c>
      <c r="E259" s="274" t="str">
        <f t="shared" ref="E259:O260" si="25">IF(F179&gt;$C179,"OK","NOK")</f>
        <v>NOK</v>
      </c>
      <c r="F259" s="274" t="str">
        <f t="shared" si="25"/>
        <v>NOK</v>
      </c>
      <c r="G259" s="274" t="str">
        <f t="shared" si="25"/>
        <v>NOK</v>
      </c>
      <c r="H259" s="274" t="str">
        <f t="shared" si="25"/>
        <v>NOK</v>
      </c>
      <c r="I259" s="274" t="str">
        <f t="shared" si="25"/>
        <v>NOK</v>
      </c>
      <c r="J259" s="274" t="str">
        <f t="shared" si="25"/>
        <v>NOK</v>
      </c>
      <c r="K259" s="274" t="str">
        <f t="shared" si="25"/>
        <v>NOK</v>
      </c>
      <c r="L259" s="274" t="str">
        <f t="shared" si="25"/>
        <v>NOK</v>
      </c>
      <c r="M259" s="274" t="str">
        <f t="shared" si="25"/>
        <v>NOK</v>
      </c>
      <c r="N259" s="274" t="str">
        <f t="shared" si="25"/>
        <v>NOK</v>
      </c>
      <c r="O259" s="274" t="str">
        <f t="shared" si="25"/>
        <v>NOK</v>
      </c>
      <c r="P259" s="288">
        <f>+COUNTIF(D259:O259,"OK")</f>
        <v>0</v>
      </c>
    </row>
    <row r="260" spans="3:16" ht="15" thickBot="1" x14ac:dyDescent="0.35">
      <c r="C260" s="278" t="s">
        <v>251</v>
      </c>
      <c r="D260" s="274" t="str">
        <f>IF(E180&gt;$C180,"OK","NOK")</f>
        <v>NOK</v>
      </c>
      <c r="E260" s="274" t="str">
        <f t="shared" si="25"/>
        <v>NOK</v>
      </c>
      <c r="F260" s="274" t="str">
        <f t="shared" si="25"/>
        <v>NOK</v>
      </c>
      <c r="G260" s="274" t="str">
        <f t="shared" si="25"/>
        <v>NOK</v>
      </c>
      <c r="H260" s="274" t="str">
        <f t="shared" si="25"/>
        <v>NOK</v>
      </c>
      <c r="I260" s="274" t="str">
        <f t="shared" si="25"/>
        <v>NOK</v>
      </c>
      <c r="J260" s="274" t="str">
        <f t="shared" si="25"/>
        <v>NOK</v>
      </c>
      <c r="K260" s="274" t="str">
        <f t="shared" si="25"/>
        <v>NOK</v>
      </c>
      <c r="L260" s="274" t="str">
        <f t="shared" si="25"/>
        <v>NOK</v>
      </c>
      <c r="M260" s="274" t="str">
        <f t="shared" si="25"/>
        <v>NOK</v>
      </c>
      <c r="N260" s="274" t="str">
        <f t="shared" si="25"/>
        <v>NOK</v>
      </c>
      <c r="O260" s="274" t="str">
        <f t="shared" si="25"/>
        <v>NOK</v>
      </c>
      <c r="P260" s="288">
        <f>+COUNTIF(D260:O260,"OK")</f>
        <v>0</v>
      </c>
    </row>
    <row r="261" spans="3:16" hidden="1" x14ac:dyDescent="0.3">
      <c r="C261" s="279" t="s">
        <v>245</v>
      </c>
      <c r="D261" s="274" t="e">
        <f t="shared" ref="D261:O261" si="26">IF(D67&lt;$A67,"OK","NOK")</f>
        <v>#DIV/0!</v>
      </c>
      <c r="E261" s="274" t="str">
        <f t="shared" si="26"/>
        <v>OK</v>
      </c>
      <c r="F261" s="274" t="e">
        <f t="shared" si="26"/>
        <v>#DIV/0!</v>
      </c>
      <c r="G261" s="274" t="str">
        <f t="shared" si="26"/>
        <v>OK</v>
      </c>
      <c r="H261" s="274" t="e">
        <f t="shared" si="26"/>
        <v>#DIV/0!</v>
      </c>
      <c r="I261" s="274" t="str">
        <f t="shared" si="26"/>
        <v>OK</v>
      </c>
      <c r="J261" s="274" t="e">
        <f t="shared" si="26"/>
        <v>#DIV/0!</v>
      </c>
      <c r="K261" s="274" t="str">
        <f t="shared" si="26"/>
        <v>OK</v>
      </c>
      <c r="L261" s="274" t="e">
        <f t="shared" si="26"/>
        <v>#DIV/0!</v>
      </c>
      <c r="M261" s="274" t="str">
        <f t="shared" si="26"/>
        <v>OK</v>
      </c>
      <c r="N261" s="274" t="e">
        <f t="shared" si="26"/>
        <v>#DIV/0!</v>
      </c>
      <c r="O261" s="274" t="str">
        <f t="shared" si="26"/>
        <v>OK</v>
      </c>
      <c r="P261" s="118"/>
    </row>
    <row r="262" spans="3:16" hidden="1" x14ac:dyDescent="0.3">
      <c r="C262" s="279" t="s">
        <v>244</v>
      </c>
      <c r="D262" s="274" t="e">
        <f t="shared" ref="D262:O262" si="27">IF(D68&lt;$A68,"OK","NOK")</f>
        <v>#DIV/0!</v>
      </c>
      <c r="E262" s="274" t="str">
        <f t="shared" si="27"/>
        <v>NOK</v>
      </c>
      <c r="F262" s="274" t="e">
        <f t="shared" si="27"/>
        <v>#DIV/0!</v>
      </c>
      <c r="G262" s="274" t="str">
        <f t="shared" si="27"/>
        <v>NOK</v>
      </c>
      <c r="H262" s="274" t="e">
        <f t="shared" si="27"/>
        <v>#DIV/0!</v>
      </c>
      <c r="I262" s="274" t="str">
        <f t="shared" si="27"/>
        <v>NOK</v>
      </c>
      <c r="J262" s="274" t="e">
        <f t="shared" si="27"/>
        <v>#DIV/0!</v>
      </c>
      <c r="K262" s="274" t="str">
        <f t="shared" si="27"/>
        <v>NOK</v>
      </c>
      <c r="L262" s="274" t="e">
        <f t="shared" si="27"/>
        <v>#DIV/0!</v>
      </c>
      <c r="M262" s="274" t="str">
        <f t="shared" si="27"/>
        <v>NOK</v>
      </c>
      <c r="N262" s="274" t="e">
        <f t="shared" si="27"/>
        <v>#DIV/0!</v>
      </c>
      <c r="O262" s="274" t="str">
        <f t="shared" si="27"/>
        <v>NOK</v>
      </c>
      <c r="P262" s="118"/>
    </row>
    <row r="263" spans="3:16" ht="15" hidden="1" thickBot="1" x14ac:dyDescent="0.35">
      <c r="C263" s="280"/>
      <c r="D263" s="275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50"/>
      <c r="P263" s="118"/>
    </row>
    <row r="264" spans="3:16" ht="15" thickBot="1" x14ac:dyDescent="0.35">
      <c r="C264" s="305" t="s">
        <v>231</v>
      </c>
      <c r="D264" s="292">
        <f>COUNTIF(D255:D263,"OK")</f>
        <v>2</v>
      </c>
      <c r="E264" s="293">
        <f t="shared" ref="E264:P264" si="28">COUNTIF(E255:E263,"OK")</f>
        <v>2</v>
      </c>
      <c r="F264" s="293">
        <f t="shared" si="28"/>
        <v>1</v>
      </c>
      <c r="G264" s="293">
        <f t="shared" si="28"/>
        <v>2</v>
      </c>
      <c r="H264" s="293">
        <f t="shared" si="28"/>
        <v>1</v>
      </c>
      <c r="I264" s="293">
        <f t="shared" si="28"/>
        <v>2</v>
      </c>
      <c r="J264" s="293">
        <f t="shared" si="28"/>
        <v>1</v>
      </c>
      <c r="K264" s="293">
        <f t="shared" si="28"/>
        <v>2</v>
      </c>
      <c r="L264" s="293">
        <f t="shared" si="28"/>
        <v>1</v>
      </c>
      <c r="M264" s="293">
        <f t="shared" si="28"/>
        <v>2</v>
      </c>
      <c r="N264" s="293">
        <f t="shared" si="28"/>
        <v>1</v>
      </c>
      <c r="O264" s="294">
        <f t="shared" si="28"/>
        <v>2</v>
      </c>
      <c r="P264" s="295">
        <f t="shared" si="28"/>
        <v>0</v>
      </c>
    </row>
    <row r="265" spans="3:16" ht="15" thickBot="1" x14ac:dyDescent="0.35">
      <c r="C265" s="305" t="s">
        <v>232</v>
      </c>
      <c r="D265" s="300">
        <f>D264/9</f>
        <v>0.22222222222222221</v>
      </c>
      <c r="E265" s="301">
        <f t="shared" ref="E265:O265" si="29">E264/9</f>
        <v>0.22222222222222221</v>
      </c>
      <c r="F265" s="301">
        <f t="shared" si="29"/>
        <v>0.1111111111111111</v>
      </c>
      <c r="G265" s="301">
        <f t="shared" si="29"/>
        <v>0.22222222222222221</v>
      </c>
      <c r="H265" s="301">
        <f t="shared" si="29"/>
        <v>0.1111111111111111</v>
      </c>
      <c r="I265" s="301">
        <f t="shared" si="29"/>
        <v>0.22222222222222221</v>
      </c>
      <c r="J265" s="301">
        <f t="shared" si="29"/>
        <v>0.1111111111111111</v>
      </c>
      <c r="K265" s="301">
        <f t="shared" si="29"/>
        <v>0.22222222222222221</v>
      </c>
      <c r="L265" s="301">
        <f t="shared" si="29"/>
        <v>0.1111111111111111</v>
      </c>
      <c r="M265" s="301">
        <f t="shared" si="29"/>
        <v>0.22222222222222221</v>
      </c>
      <c r="N265" s="301">
        <f t="shared" si="29"/>
        <v>0.1111111111111111</v>
      </c>
      <c r="O265" s="302">
        <f t="shared" si="29"/>
        <v>0.22222222222222221</v>
      </c>
      <c r="P265" s="303">
        <f>P264/108</f>
        <v>0</v>
      </c>
    </row>
  </sheetData>
  <mergeCells count="458">
    <mergeCell ref="Q203:R203"/>
    <mergeCell ref="C203:D203"/>
    <mergeCell ref="Q202:R202"/>
    <mergeCell ref="C202:D202"/>
    <mergeCell ref="Q201:R201"/>
    <mergeCell ref="C201:D201"/>
    <mergeCell ref="Q200:R200"/>
    <mergeCell ref="C200:D200"/>
    <mergeCell ref="Q199:R199"/>
    <mergeCell ref="C199:D199"/>
    <mergeCell ref="O203:P203"/>
    <mergeCell ref="O201:P201"/>
    <mergeCell ref="E202:F202"/>
    <mergeCell ref="G202:H202"/>
    <mergeCell ref="I202:J202"/>
    <mergeCell ref="K202:L202"/>
    <mergeCell ref="M202:N202"/>
    <mergeCell ref="O202:P202"/>
    <mergeCell ref="E201:F201"/>
    <mergeCell ref="G201:H201"/>
    <mergeCell ref="I201:J201"/>
    <mergeCell ref="K201:L201"/>
    <mergeCell ref="M201:N201"/>
    <mergeCell ref="O199:P199"/>
    <mergeCell ref="Q208:R208"/>
    <mergeCell ref="C208:D208"/>
    <mergeCell ref="Q207:R207"/>
    <mergeCell ref="C207:D207"/>
    <mergeCell ref="Q206:R206"/>
    <mergeCell ref="C206:D206"/>
    <mergeCell ref="Q205:R205"/>
    <mergeCell ref="C205:D205"/>
    <mergeCell ref="Q204:R204"/>
    <mergeCell ref="C204:D204"/>
    <mergeCell ref="O207:P207"/>
    <mergeCell ref="E208:F208"/>
    <mergeCell ref="G208:H208"/>
    <mergeCell ref="I208:J208"/>
    <mergeCell ref="K208:L208"/>
    <mergeCell ref="M208:N208"/>
    <mergeCell ref="O208:P208"/>
    <mergeCell ref="E207:F207"/>
    <mergeCell ref="G207:H207"/>
    <mergeCell ref="I207:J207"/>
    <mergeCell ref="K207:L207"/>
    <mergeCell ref="M207:N207"/>
    <mergeCell ref="O205:P205"/>
    <mergeCell ref="E206:F206"/>
    <mergeCell ref="Q213:R213"/>
    <mergeCell ref="C213:D213"/>
    <mergeCell ref="Q212:R212"/>
    <mergeCell ref="C212:D212"/>
    <mergeCell ref="Q211:R211"/>
    <mergeCell ref="C211:D211"/>
    <mergeCell ref="Q210:R210"/>
    <mergeCell ref="C210:D210"/>
    <mergeCell ref="Q209:R209"/>
    <mergeCell ref="C209:D209"/>
    <mergeCell ref="O213:P213"/>
    <mergeCell ref="O211:P211"/>
    <mergeCell ref="E212:F212"/>
    <mergeCell ref="G212:H212"/>
    <mergeCell ref="I212:J212"/>
    <mergeCell ref="K212:L212"/>
    <mergeCell ref="M212:N212"/>
    <mergeCell ref="O212:P212"/>
    <mergeCell ref="E211:F211"/>
    <mergeCell ref="G211:H211"/>
    <mergeCell ref="I211:J211"/>
    <mergeCell ref="K211:L211"/>
    <mergeCell ref="M211:N211"/>
    <mergeCell ref="O209:P209"/>
    <mergeCell ref="Q218:R218"/>
    <mergeCell ref="C218:D218"/>
    <mergeCell ref="Q217:R217"/>
    <mergeCell ref="C217:D217"/>
    <mergeCell ref="Q216:R216"/>
    <mergeCell ref="C216:D216"/>
    <mergeCell ref="Q215:R215"/>
    <mergeCell ref="C215:D215"/>
    <mergeCell ref="Q214:R214"/>
    <mergeCell ref="C214:D214"/>
    <mergeCell ref="O217:P217"/>
    <mergeCell ref="E218:F218"/>
    <mergeCell ref="G218:H218"/>
    <mergeCell ref="I218:J218"/>
    <mergeCell ref="K218:L218"/>
    <mergeCell ref="M218:N218"/>
    <mergeCell ref="O218:P218"/>
    <mergeCell ref="E217:F217"/>
    <mergeCell ref="G217:H217"/>
    <mergeCell ref="I217:J217"/>
    <mergeCell ref="K217:L217"/>
    <mergeCell ref="M217:N217"/>
    <mergeCell ref="O215:P215"/>
    <mergeCell ref="E216:F216"/>
    <mergeCell ref="Q223:R223"/>
    <mergeCell ref="C223:D223"/>
    <mergeCell ref="Q222:R222"/>
    <mergeCell ref="C222:D222"/>
    <mergeCell ref="Q221:R221"/>
    <mergeCell ref="C221:D221"/>
    <mergeCell ref="Q220:R220"/>
    <mergeCell ref="C220:D220"/>
    <mergeCell ref="Q219:R219"/>
    <mergeCell ref="C219:D219"/>
    <mergeCell ref="O223:P223"/>
    <mergeCell ref="O221:P221"/>
    <mergeCell ref="E222:F222"/>
    <mergeCell ref="G222:H222"/>
    <mergeCell ref="I222:J222"/>
    <mergeCell ref="K222:L222"/>
    <mergeCell ref="M222:N222"/>
    <mergeCell ref="O222:P222"/>
    <mergeCell ref="E221:F221"/>
    <mergeCell ref="G221:H221"/>
    <mergeCell ref="I221:J221"/>
    <mergeCell ref="K221:L221"/>
    <mergeCell ref="M221:N221"/>
    <mergeCell ref="O219:P219"/>
    <mergeCell ref="Q228:R228"/>
    <mergeCell ref="C228:D228"/>
    <mergeCell ref="Q227:R227"/>
    <mergeCell ref="C227:D227"/>
    <mergeCell ref="Q226:R226"/>
    <mergeCell ref="C226:D226"/>
    <mergeCell ref="Q225:R225"/>
    <mergeCell ref="C225:D225"/>
    <mergeCell ref="Q224:R224"/>
    <mergeCell ref="C224:D224"/>
    <mergeCell ref="O227:P227"/>
    <mergeCell ref="E228:F228"/>
    <mergeCell ref="G228:H228"/>
    <mergeCell ref="I228:J228"/>
    <mergeCell ref="K228:L228"/>
    <mergeCell ref="M228:N228"/>
    <mergeCell ref="O228:P228"/>
    <mergeCell ref="E227:F227"/>
    <mergeCell ref="G227:H227"/>
    <mergeCell ref="I227:J227"/>
    <mergeCell ref="K227:L227"/>
    <mergeCell ref="M227:N227"/>
    <mergeCell ref="O225:P225"/>
    <mergeCell ref="E226:F226"/>
    <mergeCell ref="Q233:R233"/>
    <mergeCell ref="C233:D233"/>
    <mergeCell ref="Q232:R232"/>
    <mergeCell ref="C232:D232"/>
    <mergeCell ref="Q231:R231"/>
    <mergeCell ref="C231:D231"/>
    <mergeCell ref="Q230:R230"/>
    <mergeCell ref="C230:D230"/>
    <mergeCell ref="Q229:R229"/>
    <mergeCell ref="C229:D229"/>
    <mergeCell ref="O233:P233"/>
    <mergeCell ref="O231:P231"/>
    <mergeCell ref="E232:F232"/>
    <mergeCell ref="G232:H232"/>
    <mergeCell ref="I232:J232"/>
    <mergeCell ref="K232:L232"/>
    <mergeCell ref="M232:N232"/>
    <mergeCell ref="O232:P232"/>
    <mergeCell ref="E231:F231"/>
    <mergeCell ref="G231:H231"/>
    <mergeCell ref="I231:J231"/>
    <mergeCell ref="K231:L231"/>
    <mergeCell ref="M231:N231"/>
    <mergeCell ref="O229:P229"/>
    <mergeCell ref="Q238:R238"/>
    <mergeCell ref="C238:D238"/>
    <mergeCell ref="Q237:R237"/>
    <mergeCell ref="C237:D237"/>
    <mergeCell ref="Q236:R236"/>
    <mergeCell ref="C236:D236"/>
    <mergeCell ref="Q235:R235"/>
    <mergeCell ref="C235:D235"/>
    <mergeCell ref="Q234:R234"/>
    <mergeCell ref="C234:D234"/>
    <mergeCell ref="O237:P237"/>
    <mergeCell ref="E238:F238"/>
    <mergeCell ref="G238:H238"/>
    <mergeCell ref="I238:J238"/>
    <mergeCell ref="K238:L238"/>
    <mergeCell ref="M238:N238"/>
    <mergeCell ref="O238:P238"/>
    <mergeCell ref="E237:F237"/>
    <mergeCell ref="G237:H237"/>
    <mergeCell ref="I237:J237"/>
    <mergeCell ref="K237:L237"/>
    <mergeCell ref="M237:N237"/>
    <mergeCell ref="O235:P235"/>
    <mergeCell ref="E236:F236"/>
    <mergeCell ref="L153:P153"/>
    <mergeCell ref="L154:P154"/>
    <mergeCell ref="L155:P155"/>
    <mergeCell ref="L156:P156"/>
    <mergeCell ref="L157:P157"/>
    <mergeCell ref="L158:P158"/>
    <mergeCell ref="L159:P159"/>
    <mergeCell ref="L144:P144"/>
    <mergeCell ref="L145:P145"/>
    <mergeCell ref="L146:P146"/>
    <mergeCell ref="L147:P147"/>
    <mergeCell ref="L148:P148"/>
    <mergeCell ref="L149:P149"/>
    <mergeCell ref="L150:P150"/>
    <mergeCell ref="L151:P151"/>
    <mergeCell ref="L152:P152"/>
    <mergeCell ref="L135:P135"/>
    <mergeCell ref="L136:P136"/>
    <mergeCell ref="L137:P137"/>
    <mergeCell ref="L138:P138"/>
    <mergeCell ref="L139:P139"/>
    <mergeCell ref="L140:P140"/>
    <mergeCell ref="L141:P141"/>
    <mergeCell ref="L142:P142"/>
    <mergeCell ref="L143:P143"/>
    <mergeCell ref="C155:G155"/>
    <mergeCell ref="C156:G156"/>
    <mergeCell ref="C157:G157"/>
    <mergeCell ref="C158:G158"/>
    <mergeCell ref="C159:G159"/>
    <mergeCell ref="L116:P116"/>
    <mergeCell ref="L117:P117"/>
    <mergeCell ref="L118:P118"/>
    <mergeCell ref="L119:P119"/>
    <mergeCell ref="L120:P120"/>
    <mergeCell ref="L121:P121"/>
    <mergeCell ref="L122:P122"/>
    <mergeCell ref="L123:P123"/>
    <mergeCell ref="L124:P124"/>
    <mergeCell ref="L125:P125"/>
    <mergeCell ref="L126:P126"/>
    <mergeCell ref="L127:P127"/>
    <mergeCell ref="L128:P128"/>
    <mergeCell ref="L129:P129"/>
    <mergeCell ref="L130:P130"/>
    <mergeCell ref="L131:P131"/>
    <mergeCell ref="L132:P132"/>
    <mergeCell ref="L133:P133"/>
    <mergeCell ref="L134:P134"/>
    <mergeCell ref="C146:G146"/>
    <mergeCell ref="C147:G147"/>
    <mergeCell ref="C148:G148"/>
    <mergeCell ref="C149:G149"/>
    <mergeCell ref="C150:G150"/>
    <mergeCell ref="C151:G151"/>
    <mergeCell ref="C152:G152"/>
    <mergeCell ref="C153:G153"/>
    <mergeCell ref="C154:G154"/>
    <mergeCell ref="C137:G137"/>
    <mergeCell ref="C138:G138"/>
    <mergeCell ref="C139:G139"/>
    <mergeCell ref="C140:G140"/>
    <mergeCell ref="C141:G141"/>
    <mergeCell ref="C142:G142"/>
    <mergeCell ref="C143:G143"/>
    <mergeCell ref="C144:G144"/>
    <mergeCell ref="C145:G145"/>
    <mergeCell ref="C128:G128"/>
    <mergeCell ref="C129:G129"/>
    <mergeCell ref="C130:G130"/>
    <mergeCell ref="C131:G131"/>
    <mergeCell ref="C132:G132"/>
    <mergeCell ref="C133:G133"/>
    <mergeCell ref="C134:G134"/>
    <mergeCell ref="C135:G135"/>
    <mergeCell ref="C136:G136"/>
    <mergeCell ref="G236:H236"/>
    <mergeCell ref="I236:J236"/>
    <mergeCell ref="K236:L236"/>
    <mergeCell ref="M236:N236"/>
    <mergeCell ref="O236:P236"/>
    <mergeCell ref="E235:F235"/>
    <mergeCell ref="G235:H235"/>
    <mergeCell ref="I235:J235"/>
    <mergeCell ref="K235:L235"/>
    <mergeCell ref="M235:N235"/>
    <mergeCell ref="E234:F234"/>
    <mergeCell ref="G234:H234"/>
    <mergeCell ref="I234:J234"/>
    <mergeCell ref="K234:L234"/>
    <mergeCell ref="M234:N234"/>
    <mergeCell ref="O234:P234"/>
    <mergeCell ref="E233:F233"/>
    <mergeCell ref="G233:H233"/>
    <mergeCell ref="I233:J233"/>
    <mergeCell ref="K233:L233"/>
    <mergeCell ref="M233:N233"/>
    <mergeCell ref="E230:F230"/>
    <mergeCell ref="G230:H230"/>
    <mergeCell ref="I230:J230"/>
    <mergeCell ref="K230:L230"/>
    <mergeCell ref="M230:N230"/>
    <mergeCell ref="O230:P230"/>
    <mergeCell ref="E229:F229"/>
    <mergeCell ref="G229:H229"/>
    <mergeCell ref="I229:J229"/>
    <mergeCell ref="K229:L229"/>
    <mergeCell ref="M229:N229"/>
    <mergeCell ref="G226:H226"/>
    <mergeCell ref="I226:J226"/>
    <mergeCell ref="K226:L226"/>
    <mergeCell ref="M226:N226"/>
    <mergeCell ref="O226:P226"/>
    <mergeCell ref="E225:F225"/>
    <mergeCell ref="G225:H225"/>
    <mergeCell ref="I225:J225"/>
    <mergeCell ref="K225:L225"/>
    <mergeCell ref="M225:N225"/>
    <mergeCell ref="E224:F224"/>
    <mergeCell ref="G224:H224"/>
    <mergeCell ref="I224:J224"/>
    <mergeCell ref="K224:L224"/>
    <mergeCell ref="M224:N224"/>
    <mergeCell ref="O224:P224"/>
    <mergeCell ref="E223:F223"/>
    <mergeCell ref="G223:H223"/>
    <mergeCell ref="I223:J223"/>
    <mergeCell ref="K223:L223"/>
    <mergeCell ref="M223:N223"/>
    <mergeCell ref="E220:F220"/>
    <mergeCell ref="G220:H220"/>
    <mergeCell ref="I220:J220"/>
    <mergeCell ref="K220:L220"/>
    <mergeCell ref="M220:N220"/>
    <mergeCell ref="O220:P220"/>
    <mergeCell ref="E219:F219"/>
    <mergeCell ref="G219:H219"/>
    <mergeCell ref="I219:J219"/>
    <mergeCell ref="K219:L219"/>
    <mergeCell ref="M219:N219"/>
    <mergeCell ref="G216:H216"/>
    <mergeCell ref="I216:J216"/>
    <mergeCell ref="K216:L216"/>
    <mergeCell ref="M216:N216"/>
    <mergeCell ref="O216:P216"/>
    <mergeCell ref="E215:F215"/>
    <mergeCell ref="G215:H215"/>
    <mergeCell ref="I215:J215"/>
    <mergeCell ref="K215:L215"/>
    <mergeCell ref="M215:N215"/>
    <mergeCell ref="E214:F214"/>
    <mergeCell ref="G214:H214"/>
    <mergeCell ref="I214:J214"/>
    <mergeCell ref="K214:L214"/>
    <mergeCell ref="M214:N214"/>
    <mergeCell ref="O214:P214"/>
    <mergeCell ref="E213:F213"/>
    <mergeCell ref="G213:H213"/>
    <mergeCell ref="I213:J213"/>
    <mergeCell ref="K213:L213"/>
    <mergeCell ref="M213:N213"/>
    <mergeCell ref="E210:F210"/>
    <mergeCell ref="G210:H210"/>
    <mergeCell ref="I210:J210"/>
    <mergeCell ref="K210:L210"/>
    <mergeCell ref="M210:N210"/>
    <mergeCell ref="O210:P210"/>
    <mergeCell ref="E209:F209"/>
    <mergeCell ref="G209:H209"/>
    <mergeCell ref="I209:J209"/>
    <mergeCell ref="K209:L209"/>
    <mergeCell ref="M209:N209"/>
    <mergeCell ref="G206:H206"/>
    <mergeCell ref="I206:J206"/>
    <mergeCell ref="K206:L206"/>
    <mergeCell ref="M206:N206"/>
    <mergeCell ref="O206:P206"/>
    <mergeCell ref="E205:F205"/>
    <mergeCell ref="G205:H205"/>
    <mergeCell ref="I205:J205"/>
    <mergeCell ref="K205:L205"/>
    <mergeCell ref="M205:N205"/>
    <mergeCell ref="E204:F204"/>
    <mergeCell ref="G204:H204"/>
    <mergeCell ref="I204:J204"/>
    <mergeCell ref="K204:L204"/>
    <mergeCell ref="M204:N204"/>
    <mergeCell ref="O204:P204"/>
    <mergeCell ref="E203:F203"/>
    <mergeCell ref="G203:H203"/>
    <mergeCell ref="I203:J203"/>
    <mergeCell ref="K203:L203"/>
    <mergeCell ref="M203:N203"/>
    <mergeCell ref="E200:F200"/>
    <mergeCell ref="G200:H200"/>
    <mergeCell ref="I200:J200"/>
    <mergeCell ref="K200:L200"/>
    <mergeCell ref="M200:N200"/>
    <mergeCell ref="O200:P200"/>
    <mergeCell ref="E199:F199"/>
    <mergeCell ref="G199:H199"/>
    <mergeCell ref="I199:J199"/>
    <mergeCell ref="K199:L199"/>
    <mergeCell ref="M199:N199"/>
    <mergeCell ref="C197:J197"/>
    <mergeCell ref="K197:R197"/>
    <mergeCell ref="C198:D198"/>
    <mergeCell ref="E198:F198"/>
    <mergeCell ref="G198:H198"/>
    <mergeCell ref="I198:J198"/>
    <mergeCell ref="K198:L198"/>
    <mergeCell ref="M198:N198"/>
    <mergeCell ref="O198:P198"/>
    <mergeCell ref="Q198:R198"/>
    <mergeCell ref="C162:G162"/>
    <mergeCell ref="L162:P162"/>
    <mergeCell ref="C163:G163"/>
    <mergeCell ref="L163:P163"/>
    <mergeCell ref="D165:Q165"/>
    <mergeCell ref="D176:Q176"/>
    <mergeCell ref="C115:G115"/>
    <mergeCell ref="L115:P115"/>
    <mergeCell ref="C160:G160"/>
    <mergeCell ref="L160:P160"/>
    <mergeCell ref="C161:G161"/>
    <mergeCell ref="L161:P161"/>
    <mergeCell ref="C116:G116"/>
    <mergeCell ref="C117:G117"/>
    <mergeCell ref="C118:G118"/>
    <mergeCell ref="C119:G119"/>
    <mergeCell ref="C120:G120"/>
    <mergeCell ref="C121:G121"/>
    <mergeCell ref="C122:G122"/>
    <mergeCell ref="C123:G123"/>
    <mergeCell ref="C124:G124"/>
    <mergeCell ref="C125:G125"/>
    <mergeCell ref="C126:G126"/>
    <mergeCell ref="C127:G127"/>
    <mergeCell ref="A79:A80"/>
    <mergeCell ref="A81:A82"/>
    <mergeCell ref="B113:J113"/>
    <mergeCell ref="K113:S113"/>
    <mergeCell ref="C114:G114"/>
    <mergeCell ref="L114:P114"/>
    <mergeCell ref="A67:A68"/>
    <mergeCell ref="A69:A70"/>
    <mergeCell ref="A71:A72"/>
    <mergeCell ref="A73:A74"/>
    <mergeCell ref="A75:A76"/>
    <mergeCell ref="A77:A78"/>
    <mergeCell ref="Q57:R57"/>
    <mergeCell ref="S57:T57"/>
    <mergeCell ref="A59:A60"/>
    <mergeCell ref="A61:A62"/>
    <mergeCell ref="A63:A64"/>
    <mergeCell ref="A65:A66"/>
    <mergeCell ref="D2:Q2"/>
    <mergeCell ref="D31:Q31"/>
    <mergeCell ref="A56:S56"/>
    <mergeCell ref="C57:D57"/>
    <mergeCell ref="E57:F57"/>
    <mergeCell ref="G57:H57"/>
    <mergeCell ref="I57:J57"/>
    <mergeCell ref="K57:L57"/>
    <mergeCell ref="M57:N57"/>
    <mergeCell ref="O57:P57"/>
  </mergeCells>
  <conditionalFormatting sqref="D61:D82 F61:F82 H61:H82 J61:J82 L61:L82 N61:N82 P61:P82 R61:R82 T61:T82">
    <cfRule type="containsErrors" dxfId="295" priority="3">
      <formula>ISERROR(D61)</formula>
    </cfRule>
  </conditionalFormatting>
  <conditionalFormatting sqref="D244:O253 D254:P254 D255:O263">
    <cfRule type="containsText" dxfId="294" priority="2" operator="containsText" text="NOK">
      <formula>NOT(ISERROR(SEARCH("NOK",D244)))</formula>
    </cfRule>
  </conditionalFormatting>
  <conditionalFormatting sqref="D265:P265">
    <cfRule type="containsText" dxfId="293" priority="1" operator="containsText" text="NOK">
      <formula>NOT(ISERROR(SEARCH("NOK",D265)))</formula>
    </cfRule>
  </conditionalFormatting>
  <pageMargins left="0.7" right="0.7" top="0.75" bottom="0.75" header="0.3" footer="0.3"/>
  <pageSetup paperSize="9" orientation="portrait" horizontalDpi="300" verticalDpi="300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BF0A44-88D4-4206-8DCD-B272132C5E86}">
  <dimension ref="A1:P36"/>
  <sheetViews>
    <sheetView zoomScale="90" zoomScaleNormal="90" workbookViewId="0">
      <selection activeCell="B11" sqref="B11"/>
    </sheetView>
  </sheetViews>
  <sheetFormatPr defaultRowHeight="14.4" x14ac:dyDescent="0.3"/>
  <cols>
    <col min="1" max="1" width="14.5546875" bestFit="1" customWidth="1"/>
    <col min="2" max="2" width="13.6640625" customWidth="1"/>
    <col min="3" max="3" width="3.6640625" hidden="1" customWidth="1"/>
    <col min="4" max="4" width="9.88671875" customWidth="1"/>
    <col min="6" max="6" width="37.6640625" bestFit="1" customWidth="1"/>
    <col min="7" max="7" width="23.5546875" customWidth="1"/>
    <col min="8" max="8" width="23.33203125" customWidth="1"/>
    <col min="9" max="9" width="16" customWidth="1"/>
    <col min="10" max="10" width="14" customWidth="1"/>
    <col min="11" max="11" width="24.33203125" hidden="1" customWidth="1"/>
    <col min="12" max="12" width="22" hidden="1" customWidth="1"/>
    <col min="13" max="13" width="19.109375" hidden="1" customWidth="1"/>
    <col min="14" max="14" width="13.6640625" customWidth="1"/>
    <col min="15" max="15" width="10.33203125" customWidth="1"/>
    <col min="16" max="16" width="8.88671875" customWidth="1"/>
  </cols>
  <sheetData>
    <row r="1" spans="1:16" ht="21.6" thickBot="1" x14ac:dyDescent="0.45">
      <c r="B1" s="793" t="s">
        <v>283</v>
      </c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208"/>
      <c r="P1" s="208"/>
    </row>
    <row r="2" spans="1:16" ht="15" thickBot="1" x14ac:dyDescent="0.35">
      <c r="B2" s="795" t="s">
        <v>273</v>
      </c>
      <c r="C2" s="796"/>
      <c r="D2" s="797"/>
      <c r="E2" s="798"/>
      <c r="F2" s="799" t="s">
        <v>274</v>
      </c>
      <c r="G2" s="800"/>
      <c r="H2" s="800"/>
      <c r="I2" s="800"/>
      <c r="J2" s="800"/>
      <c r="K2" s="800"/>
      <c r="L2" s="800"/>
      <c r="M2" s="800"/>
      <c r="N2" s="801"/>
      <c r="O2" s="208"/>
      <c r="P2" s="208"/>
    </row>
    <row r="3" spans="1:16" ht="15" thickBot="1" x14ac:dyDescent="0.35">
      <c r="B3" s="329" t="s">
        <v>257</v>
      </c>
      <c r="C3" s="341"/>
      <c r="D3" s="329" t="s">
        <v>280</v>
      </c>
      <c r="E3" s="329" t="s">
        <v>258</v>
      </c>
      <c r="F3" s="330" t="str">
        <f>[1]Original!$A$2</f>
        <v>Limpeza e Higienização</v>
      </c>
      <c r="G3" s="329" t="str">
        <f>[1]Original!$A$3</f>
        <v>Prevenção e Contaminação</v>
      </c>
      <c r="H3" s="330" t="str">
        <f>[1]Original!$A$4</f>
        <v>Armazenamento</v>
      </c>
      <c r="I3" s="329" t="str">
        <f>[1]Original!$A$5</f>
        <v>Confeção</v>
      </c>
      <c r="J3" s="330" t="str">
        <f>[1]Original!$A$6</f>
        <v>Geral</v>
      </c>
      <c r="K3" s="329" t="s">
        <v>275</v>
      </c>
      <c r="L3" s="330" t="s">
        <v>276</v>
      </c>
      <c r="M3" s="329" t="s">
        <v>277</v>
      </c>
      <c r="N3" s="353" t="s">
        <v>259</v>
      </c>
      <c r="O3" s="370"/>
      <c r="P3" s="370"/>
    </row>
    <row r="4" spans="1:16" x14ac:dyDescent="0.3">
      <c r="A4" s="791" t="s">
        <v>260</v>
      </c>
      <c r="B4" s="356" t="s">
        <v>383</v>
      </c>
      <c r="C4" s="333">
        <v>0</v>
      </c>
      <c r="D4" s="104">
        <v>20</v>
      </c>
      <c r="E4" s="104" t="s">
        <v>290</v>
      </c>
      <c r="F4" s="357">
        <v>1</v>
      </c>
      <c r="G4" s="358">
        <v>0.8</v>
      </c>
      <c r="H4" s="357">
        <v>0.73680000000000001</v>
      </c>
      <c r="I4" s="358">
        <v>1</v>
      </c>
      <c r="J4" s="357">
        <v>1</v>
      </c>
      <c r="K4" s="358">
        <v>0.89500000000000002</v>
      </c>
      <c r="L4" s="357"/>
      <c r="M4" s="358"/>
      <c r="N4" s="359">
        <v>0.89500000000000002</v>
      </c>
      <c r="O4" s="448" t="s">
        <v>284</v>
      </c>
      <c r="P4" s="351" t="e">
        <f>AVERAGEIFS(N$4:N$28,E$4:E$28,"Bruna")</f>
        <v>#DIV/0!</v>
      </c>
    </row>
    <row r="5" spans="1:16" ht="15" thickBot="1" x14ac:dyDescent="0.35">
      <c r="A5" s="792"/>
      <c r="B5" s="360" t="s">
        <v>386</v>
      </c>
      <c r="C5" s="333">
        <v>0</v>
      </c>
      <c r="D5" s="362">
        <v>32</v>
      </c>
      <c r="E5" s="362" t="s">
        <v>278</v>
      </c>
      <c r="F5" s="363">
        <v>1</v>
      </c>
      <c r="G5" s="364">
        <v>0.7</v>
      </c>
      <c r="H5" s="363">
        <v>0.73680000000000001</v>
      </c>
      <c r="I5" s="364">
        <v>1</v>
      </c>
      <c r="J5" s="363">
        <v>1</v>
      </c>
      <c r="K5" s="364">
        <v>0.86699999999999999</v>
      </c>
      <c r="L5" s="363"/>
      <c r="M5" s="364"/>
      <c r="N5" s="365">
        <v>0.86699999999999999</v>
      </c>
      <c r="O5" s="448" t="s">
        <v>288</v>
      </c>
      <c r="P5" s="351" t="e">
        <f>AVERAGEIFS(N$4:N$28,E$4:E$28,"Claudia")</f>
        <v>#DIV/0!</v>
      </c>
    </row>
    <row r="6" spans="1:16" x14ac:dyDescent="0.3">
      <c r="A6" s="791" t="s">
        <v>262</v>
      </c>
      <c r="B6" s="334" t="s">
        <v>384</v>
      </c>
      <c r="C6" s="333">
        <v>0</v>
      </c>
      <c r="D6" s="81">
        <v>20</v>
      </c>
      <c r="E6" s="81" t="s">
        <v>290</v>
      </c>
      <c r="F6" s="335">
        <v>0.76190000000000002</v>
      </c>
      <c r="G6" s="336">
        <v>0.6</v>
      </c>
      <c r="H6" s="335">
        <v>0.73680000000000001</v>
      </c>
      <c r="I6" s="336">
        <v>1</v>
      </c>
      <c r="J6" s="335">
        <v>0.83330000000000004</v>
      </c>
      <c r="K6" s="336">
        <v>0.74299999999999999</v>
      </c>
      <c r="L6" s="335"/>
      <c r="M6" s="336"/>
      <c r="N6" s="345">
        <v>0.74299999999999999</v>
      </c>
      <c r="O6" s="448" t="s">
        <v>261</v>
      </c>
      <c r="P6" s="351" t="e">
        <f>AVERAGEIFS(N$4:N$28,E$4:E$28,"Hugo")</f>
        <v>#DIV/0!</v>
      </c>
    </row>
    <row r="7" spans="1:16" x14ac:dyDescent="0.3">
      <c r="A7" s="816"/>
      <c r="B7" s="501" t="s">
        <v>387</v>
      </c>
      <c r="C7" s="56">
        <v>0</v>
      </c>
      <c r="D7" s="56">
        <v>20</v>
      </c>
      <c r="E7" s="56" t="s">
        <v>286</v>
      </c>
      <c r="F7" s="502">
        <v>1</v>
      </c>
      <c r="G7" s="503">
        <v>0.74</v>
      </c>
      <c r="H7" s="502">
        <v>0.5</v>
      </c>
      <c r="I7" s="503">
        <v>1</v>
      </c>
      <c r="J7" s="502">
        <v>1</v>
      </c>
      <c r="K7" s="503">
        <v>0.82099999999999995</v>
      </c>
      <c r="L7" s="502"/>
      <c r="M7" s="503"/>
      <c r="N7" s="504">
        <v>0.82099999999999995</v>
      </c>
      <c r="O7" s="448" t="s">
        <v>285</v>
      </c>
      <c r="P7" s="351" t="e">
        <f>AVERAGEIFS(N$4:N$28,E$4:E$28,"Isaac")</f>
        <v>#DIV/0!</v>
      </c>
    </row>
    <row r="8" spans="1:16" ht="15" thickBot="1" x14ac:dyDescent="0.35">
      <c r="A8" s="792"/>
      <c r="B8" s="331" t="s">
        <v>388</v>
      </c>
      <c r="C8" s="81">
        <v>1</v>
      </c>
      <c r="D8" s="81">
        <v>32</v>
      </c>
      <c r="E8" s="81" t="s">
        <v>289</v>
      </c>
      <c r="F8" s="335">
        <v>0.86</v>
      </c>
      <c r="G8" s="336">
        <v>1</v>
      </c>
      <c r="H8" s="335">
        <v>0.74</v>
      </c>
      <c r="I8" s="336">
        <v>1</v>
      </c>
      <c r="J8" s="335">
        <v>1</v>
      </c>
      <c r="K8" s="336"/>
      <c r="L8" s="335"/>
      <c r="M8" s="336"/>
      <c r="N8" s="355">
        <v>0.92400000000000004</v>
      </c>
      <c r="O8" s="448"/>
      <c r="P8" s="351"/>
    </row>
    <row r="9" spans="1:16" x14ac:dyDescent="0.3">
      <c r="A9" s="791" t="s">
        <v>263</v>
      </c>
      <c r="B9" s="356" t="s">
        <v>389</v>
      </c>
      <c r="C9" s="104">
        <v>0</v>
      </c>
      <c r="D9" s="104">
        <v>20</v>
      </c>
      <c r="E9" s="104" t="s">
        <v>286</v>
      </c>
      <c r="F9" s="357">
        <v>0.8571428571428571</v>
      </c>
      <c r="G9" s="358">
        <v>0.7</v>
      </c>
      <c r="H9" s="357">
        <v>0.57894736842105265</v>
      </c>
      <c r="I9" s="358">
        <v>1</v>
      </c>
      <c r="J9" s="357">
        <v>1</v>
      </c>
      <c r="K9" s="358"/>
      <c r="L9" s="357"/>
      <c r="M9" s="358"/>
      <c r="N9" s="367">
        <v>0.75</v>
      </c>
      <c r="O9" s="448" t="s">
        <v>286</v>
      </c>
      <c r="P9" s="351">
        <f>AVERAGEIFS(N$4:N$28,E$4:E$28,"Isabel")</f>
        <v>0.78549999999999998</v>
      </c>
    </row>
    <row r="10" spans="1:16" ht="15" thickBot="1" x14ac:dyDescent="0.35">
      <c r="A10" s="792"/>
      <c r="B10" s="360" t="s">
        <v>390</v>
      </c>
      <c r="C10" s="361">
        <v>0</v>
      </c>
      <c r="D10" s="361">
        <v>32</v>
      </c>
      <c r="E10" s="361" t="s">
        <v>289</v>
      </c>
      <c r="F10" s="363">
        <v>0.76190476190476186</v>
      </c>
      <c r="G10" s="364">
        <v>0.7</v>
      </c>
      <c r="H10" s="363">
        <v>0.84210526315789469</v>
      </c>
      <c r="I10" s="364">
        <v>1</v>
      </c>
      <c r="J10" s="363">
        <v>1</v>
      </c>
      <c r="K10" s="364"/>
      <c r="L10" s="363"/>
      <c r="M10" s="364"/>
      <c r="N10" s="369">
        <v>0.75</v>
      </c>
      <c r="O10" s="448" t="s">
        <v>287</v>
      </c>
      <c r="P10" s="351" t="e">
        <f>AVERAGEIFS(N$4:N$28,E$4:E$28,"Janice")</f>
        <v>#DIV/0!</v>
      </c>
    </row>
    <row r="11" spans="1:16" x14ac:dyDescent="0.3">
      <c r="A11" s="791" t="s">
        <v>264</v>
      </c>
      <c r="B11" s="331"/>
      <c r="C11" s="81">
        <f t="shared" ref="C11:C28" si="0">IF(E11=B$30,1,0)</f>
        <v>1</v>
      </c>
      <c r="D11" s="81"/>
      <c r="E11" s="81"/>
      <c r="F11" s="335"/>
      <c r="G11" s="336"/>
      <c r="H11" s="335"/>
      <c r="I11" s="336"/>
      <c r="J11" s="335"/>
      <c r="K11" s="336"/>
      <c r="L11" s="335"/>
      <c r="M11" s="336"/>
      <c r="N11" s="355"/>
      <c r="O11" s="448" t="s">
        <v>282</v>
      </c>
      <c r="P11" s="351" t="e">
        <f>AVERAGEIFS(N$4:N$28,E$4:E$28,"Luis")</f>
        <v>#DIV/0!</v>
      </c>
    </row>
    <row r="12" spans="1:16" ht="15" thickBot="1" x14ac:dyDescent="0.35">
      <c r="A12" s="792"/>
      <c r="B12" s="332"/>
      <c r="C12" s="333">
        <f t="shared" si="0"/>
        <v>1</v>
      </c>
      <c r="D12" s="333"/>
      <c r="E12" s="333"/>
      <c r="F12" s="337"/>
      <c r="G12" s="338"/>
      <c r="H12" s="337"/>
      <c r="I12" s="338"/>
      <c r="J12" s="337"/>
      <c r="K12" s="338"/>
      <c r="L12" s="337"/>
      <c r="M12" s="338"/>
      <c r="N12" s="346"/>
      <c r="O12" s="448" t="s">
        <v>278</v>
      </c>
      <c r="P12" s="351">
        <f>AVERAGEIFS(N$4:N$28,E$4:E$28,"Marília")</f>
        <v>0.86699999999999999</v>
      </c>
    </row>
    <row r="13" spans="1:16" x14ac:dyDescent="0.3">
      <c r="A13" s="791" t="s">
        <v>265</v>
      </c>
      <c r="B13" s="366"/>
      <c r="C13" s="104">
        <f t="shared" si="0"/>
        <v>1</v>
      </c>
      <c r="D13" s="104"/>
      <c r="E13" s="104"/>
      <c r="F13" s="357"/>
      <c r="G13" s="358"/>
      <c r="H13" s="357"/>
      <c r="I13" s="358"/>
      <c r="J13" s="357"/>
      <c r="K13" s="358"/>
      <c r="L13" s="357"/>
      <c r="M13" s="358"/>
      <c r="N13" s="367"/>
      <c r="O13" s="448" t="s">
        <v>290</v>
      </c>
      <c r="P13" s="351">
        <f>AVERAGEIFS(N$4:N$28,E$4:E$28,"Uilson")</f>
        <v>0.81899999999999995</v>
      </c>
    </row>
    <row r="14" spans="1:16" ht="15" thickBot="1" x14ac:dyDescent="0.35">
      <c r="A14" s="792"/>
      <c r="B14" s="368"/>
      <c r="C14" s="361">
        <f t="shared" si="0"/>
        <v>1</v>
      </c>
      <c r="D14" s="361"/>
      <c r="E14" s="361"/>
      <c r="F14" s="363"/>
      <c r="G14" s="364"/>
      <c r="H14" s="363"/>
      <c r="I14" s="364"/>
      <c r="J14" s="363"/>
      <c r="K14" s="364"/>
      <c r="L14" s="363"/>
      <c r="M14" s="364"/>
      <c r="N14" s="369"/>
      <c r="O14" s="448" t="s">
        <v>289</v>
      </c>
      <c r="P14" s="351">
        <f>AVERAGEIFS(N$4:N$28,E$4:E$28,"Vitor")</f>
        <v>0.83699999999999997</v>
      </c>
    </row>
    <row r="15" spans="1:16" x14ac:dyDescent="0.3">
      <c r="A15" s="791" t="s">
        <v>266</v>
      </c>
      <c r="B15" s="331"/>
      <c r="C15" s="81">
        <f t="shared" si="0"/>
        <v>1</v>
      </c>
      <c r="D15" s="81"/>
      <c r="E15" s="81"/>
      <c r="F15" s="335"/>
      <c r="G15" s="336"/>
      <c r="H15" s="335"/>
      <c r="I15" s="336"/>
      <c r="J15" s="335"/>
      <c r="K15" s="336"/>
      <c r="L15" s="335"/>
      <c r="M15" s="336"/>
      <c r="N15" s="355"/>
      <c r="O15" s="448" t="s">
        <v>291</v>
      </c>
      <c r="P15" s="351" t="e">
        <f>AVERAGEIFS(N$4:N$28,E$4:E$28,"William")</f>
        <v>#DIV/0!</v>
      </c>
    </row>
    <row r="16" spans="1:16" ht="15" thickBot="1" x14ac:dyDescent="0.35">
      <c r="A16" s="792"/>
      <c r="B16" s="332"/>
      <c r="C16" s="333">
        <f t="shared" si="0"/>
        <v>1</v>
      </c>
      <c r="D16" s="333"/>
      <c r="E16" s="333"/>
      <c r="F16" s="337"/>
      <c r="G16" s="338"/>
      <c r="H16" s="337"/>
      <c r="I16" s="338"/>
      <c r="J16" s="337"/>
      <c r="K16" s="338"/>
      <c r="L16" s="337"/>
      <c r="M16" s="338"/>
      <c r="N16" s="346"/>
      <c r="O16" s="448" t="s">
        <v>123</v>
      </c>
      <c r="P16" s="352" t="e">
        <f>AVERAGE(P4:P15)</f>
        <v>#DIV/0!</v>
      </c>
    </row>
    <row r="17" spans="1:16" x14ac:dyDescent="0.3">
      <c r="A17" s="791" t="s">
        <v>267</v>
      </c>
      <c r="B17" s="366"/>
      <c r="C17" s="104">
        <f t="shared" si="0"/>
        <v>1</v>
      </c>
      <c r="D17" s="104"/>
      <c r="E17" s="104"/>
      <c r="F17" s="357"/>
      <c r="G17" s="358"/>
      <c r="H17" s="357"/>
      <c r="I17" s="358"/>
      <c r="J17" s="357"/>
      <c r="K17" s="358"/>
      <c r="L17" s="357"/>
      <c r="M17" s="358"/>
      <c r="N17" s="367"/>
      <c r="O17" s="448"/>
      <c r="P17" s="448"/>
    </row>
    <row r="18" spans="1:16" ht="15" thickBot="1" x14ac:dyDescent="0.35">
      <c r="A18" s="792"/>
      <c r="B18" s="368"/>
      <c r="C18" s="361">
        <f t="shared" si="0"/>
        <v>1</v>
      </c>
      <c r="D18" s="361"/>
      <c r="E18" s="361"/>
      <c r="F18" s="363"/>
      <c r="G18" s="364"/>
      <c r="H18" s="363"/>
      <c r="I18" s="364"/>
      <c r="J18" s="363"/>
      <c r="K18" s="364"/>
      <c r="L18" s="363"/>
      <c r="M18" s="364"/>
      <c r="N18" s="369"/>
      <c r="O18" s="370"/>
      <c r="P18" s="370"/>
    </row>
    <row r="19" spans="1:16" x14ac:dyDescent="0.3">
      <c r="A19" s="791" t="s">
        <v>268</v>
      </c>
      <c r="B19" s="331"/>
      <c r="C19" s="81">
        <f t="shared" si="0"/>
        <v>1</v>
      </c>
      <c r="D19" s="81"/>
      <c r="E19" s="81"/>
      <c r="F19" s="335"/>
      <c r="G19" s="336"/>
      <c r="H19" s="335"/>
      <c r="I19" s="336"/>
      <c r="J19" s="335"/>
      <c r="K19" s="336"/>
      <c r="L19" s="335"/>
      <c r="M19" s="336"/>
      <c r="N19" s="355"/>
      <c r="O19" s="370"/>
      <c r="P19" s="370"/>
    </row>
    <row r="20" spans="1:16" ht="15" thickBot="1" x14ac:dyDescent="0.35">
      <c r="A20" s="792"/>
      <c r="B20" s="332"/>
      <c r="C20" s="333">
        <f t="shared" si="0"/>
        <v>1</v>
      </c>
      <c r="D20" s="333"/>
      <c r="E20" s="333"/>
      <c r="F20" s="337"/>
      <c r="G20" s="338"/>
      <c r="H20" s="337"/>
      <c r="I20" s="338"/>
      <c r="J20" s="337"/>
      <c r="K20" s="338"/>
      <c r="L20" s="337"/>
      <c r="M20" s="338"/>
      <c r="N20" s="346"/>
      <c r="O20" s="370"/>
      <c r="P20" s="370"/>
    </row>
    <row r="21" spans="1:16" x14ac:dyDescent="0.3">
      <c r="A21" s="791" t="s">
        <v>269</v>
      </c>
      <c r="B21" s="366"/>
      <c r="C21" s="104">
        <f t="shared" si="0"/>
        <v>1</v>
      </c>
      <c r="D21" s="104"/>
      <c r="E21" s="104"/>
      <c r="F21" s="357"/>
      <c r="G21" s="358"/>
      <c r="H21" s="357"/>
      <c r="I21" s="358"/>
      <c r="J21" s="357"/>
      <c r="K21" s="358"/>
      <c r="L21" s="357"/>
      <c r="M21" s="358"/>
      <c r="N21" s="367"/>
      <c r="O21" s="370"/>
      <c r="P21" s="370"/>
    </row>
    <row r="22" spans="1:16" ht="15" thickBot="1" x14ac:dyDescent="0.35">
      <c r="A22" s="792"/>
      <c r="B22" s="368"/>
      <c r="C22" s="361">
        <f t="shared" si="0"/>
        <v>1</v>
      </c>
      <c r="D22" s="361"/>
      <c r="E22" s="361"/>
      <c r="F22" s="363"/>
      <c r="G22" s="364"/>
      <c r="H22" s="363"/>
      <c r="I22" s="364"/>
      <c r="J22" s="363"/>
      <c r="K22" s="342"/>
      <c r="L22" s="363"/>
      <c r="M22" s="364"/>
      <c r="N22" s="369"/>
      <c r="O22" s="370"/>
      <c r="P22" s="370"/>
    </row>
    <row r="23" spans="1:16" x14ac:dyDescent="0.3">
      <c r="A23" s="791" t="s">
        <v>270</v>
      </c>
      <c r="B23" s="331"/>
      <c r="C23" s="81">
        <f t="shared" si="0"/>
        <v>1</v>
      </c>
      <c r="D23" s="81"/>
      <c r="E23" s="81"/>
      <c r="F23" s="335"/>
      <c r="G23" s="336"/>
      <c r="H23" s="335"/>
      <c r="I23" s="336"/>
      <c r="J23" s="335"/>
      <c r="K23" s="336"/>
      <c r="L23" s="335"/>
      <c r="M23" s="336"/>
      <c r="N23" s="355"/>
      <c r="O23" s="370"/>
      <c r="P23" s="370"/>
    </row>
    <row r="24" spans="1:16" ht="15" thickBot="1" x14ac:dyDescent="0.35">
      <c r="A24" s="792"/>
      <c r="B24" s="332"/>
      <c r="C24" s="333">
        <f t="shared" si="0"/>
        <v>1</v>
      </c>
      <c r="D24" s="333"/>
      <c r="E24" s="333"/>
      <c r="F24" s="337"/>
      <c r="G24" s="338"/>
      <c r="H24" s="337"/>
      <c r="I24" s="338"/>
      <c r="J24" s="337"/>
      <c r="K24" s="338"/>
      <c r="L24" s="337"/>
      <c r="M24" s="338"/>
      <c r="N24" s="346"/>
      <c r="O24" s="370"/>
      <c r="P24" s="370"/>
    </row>
    <row r="25" spans="1:16" x14ac:dyDescent="0.3">
      <c r="A25" s="791" t="s">
        <v>271</v>
      </c>
      <c r="B25" s="366"/>
      <c r="C25" s="104">
        <f t="shared" si="0"/>
        <v>1</v>
      </c>
      <c r="D25" s="104"/>
      <c r="E25" s="104"/>
      <c r="F25" s="357"/>
      <c r="G25" s="358"/>
      <c r="H25" s="357"/>
      <c r="I25" s="358"/>
      <c r="J25" s="357"/>
      <c r="K25" s="358"/>
      <c r="L25" s="357"/>
      <c r="M25" s="358"/>
      <c r="N25" s="367"/>
      <c r="O25" s="208"/>
      <c r="P25" s="208"/>
    </row>
    <row r="26" spans="1:16" ht="15" thickBot="1" x14ac:dyDescent="0.35">
      <c r="A26" s="792"/>
      <c r="B26" s="368"/>
      <c r="C26" s="361">
        <f t="shared" si="0"/>
        <v>1</v>
      </c>
      <c r="D26" s="361"/>
      <c r="E26" s="361"/>
      <c r="F26" s="363"/>
      <c r="G26" s="364"/>
      <c r="H26" s="363"/>
      <c r="I26" s="364"/>
      <c r="J26" s="363"/>
      <c r="K26" s="364"/>
      <c r="L26" s="363"/>
      <c r="M26" s="364"/>
      <c r="N26" s="369"/>
      <c r="O26" s="208"/>
      <c r="P26" s="208"/>
    </row>
    <row r="27" spans="1:16" x14ac:dyDescent="0.3">
      <c r="A27" s="791" t="s">
        <v>272</v>
      </c>
      <c r="B27" s="331"/>
      <c r="C27" s="81">
        <f t="shared" si="0"/>
        <v>1</v>
      </c>
      <c r="D27" s="81"/>
      <c r="E27" s="81"/>
      <c r="F27" s="335"/>
      <c r="G27" s="336"/>
      <c r="H27" s="335"/>
      <c r="I27" s="336"/>
      <c r="J27" s="335"/>
      <c r="K27" s="336"/>
      <c r="L27" s="335"/>
      <c r="M27" s="336"/>
      <c r="N27" s="355"/>
      <c r="O27" s="208"/>
      <c r="P27" s="208"/>
    </row>
    <row r="28" spans="1:16" ht="15" thickBot="1" x14ac:dyDescent="0.35">
      <c r="A28" s="816"/>
      <c r="B28" s="332"/>
      <c r="C28" s="333">
        <f t="shared" si="0"/>
        <v>1</v>
      </c>
      <c r="D28" s="333"/>
      <c r="E28" s="333"/>
      <c r="F28" s="337"/>
      <c r="G28" s="338"/>
      <c r="H28" s="337"/>
      <c r="I28" s="338"/>
      <c r="J28" s="337"/>
      <c r="K28" s="338"/>
      <c r="L28" s="337"/>
      <c r="M28" s="338"/>
      <c r="N28" s="346"/>
      <c r="O28" s="208"/>
      <c r="P28" s="208"/>
    </row>
    <row r="29" spans="1:16" ht="15" thickBot="1" x14ac:dyDescent="0.35">
      <c r="A29" s="813" t="s">
        <v>281</v>
      </c>
      <c r="B29" s="814"/>
      <c r="C29" s="814"/>
      <c r="D29" s="814"/>
      <c r="E29" s="815"/>
      <c r="F29" s="339">
        <f>AVERAGE(F4:F28)</f>
        <v>0.89156394557823127</v>
      </c>
      <c r="G29" s="340">
        <f t="shared" ref="G29:N29" si="1">AVERAGE(G4:G28)</f>
        <v>0.74857142857142855</v>
      </c>
      <c r="H29" s="339">
        <f t="shared" si="1"/>
        <v>0.69592180451127827</v>
      </c>
      <c r="I29" s="340">
        <f t="shared" si="1"/>
        <v>1</v>
      </c>
      <c r="J29" s="339">
        <f t="shared" si="1"/>
        <v>0.97618571428571421</v>
      </c>
      <c r="K29" s="340">
        <f t="shared" si="1"/>
        <v>0.83149999999999991</v>
      </c>
      <c r="L29" s="339" t="e">
        <f t="shared" si="1"/>
        <v>#DIV/0!</v>
      </c>
      <c r="M29" s="340" t="e">
        <f t="shared" si="1"/>
        <v>#DIV/0!</v>
      </c>
      <c r="N29" s="340">
        <f t="shared" si="1"/>
        <v>0.8214285714285714</v>
      </c>
      <c r="O29" s="208"/>
      <c r="P29" s="208"/>
    </row>
    <row r="30" spans="1:16" ht="18.600000000000001" thickBot="1" x14ac:dyDescent="0.4">
      <c r="A30" s="344" t="s">
        <v>258</v>
      </c>
      <c r="B30" s="810"/>
      <c r="C30" s="811"/>
      <c r="D30" s="811"/>
      <c r="E30" s="812"/>
      <c r="F30" s="450">
        <f t="shared" ref="F30:N30" si="2">F34/F33</f>
        <v>4.5263157894736838E-2</v>
      </c>
      <c r="G30" s="451">
        <f t="shared" si="2"/>
        <v>5.2631578947368418E-2</v>
      </c>
      <c r="H30" s="450">
        <f t="shared" si="2"/>
        <v>3.8947368421052633E-2</v>
      </c>
      <c r="I30" s="451">
        <f t="shared" si="2"/>
        <v>5.2631578947368418E-2</v>
      </c>
      <c r="J30" s="450">
        <f t="shared" si="2"/>
        <v>5.2631578947368418E-2</v>
      </c>
      <c r="K30" s="451">
        <f t="shared" si="2"/>
        <v>0</v>
      </c>
      <c r="L30" s="450">
        <f t="shared" si="2"/>
        <v>0</v>
      </c>
      <c r="M30" s="451">
        <f t="shared" si="2"/>
        <v>0</v>
      </c>
      <c r="N30" s="452">
        <f t="shared" si="2"/>
        <v>4.8631578947368422E-2</v>
      </c>
      <c r="O30" s="208"/>
      <c r="P30" s="208"/>
    </row>
    <row r="31" spans="1:16" ht="18.600000000000001" hidden="1" thickBot="1" x14ac:dyDescent="0.4">
      <c r="A31" s="449"/>
      <c r="B31" s="473"/>
      <c r="C31" s="474"/>
      <c r="D31" s="474"/>
      <c r="E31" s="475"/>
      <c r="F31" s="457">
        <f>COUNTIF($D4:$D28,$B35)</f>
        <v>0</v>
      </c>
      <c r="G31" s="457">
        <f t="shared" ref="G31:N31" si="3">COUNTIF($D4:$D28,$B35)</f>
        <v>0</v>
      </c>
      <c r="H31" s="457">
        <f t="shared" si="3"/>
        <v>0</v>
      </c>
      <c r="I31" s="457">
        <f t="shared" si="3"/>
        <v>0</v>
      </c>
      <c r="J31" s="457">
        <f t="shared" si="3"/>
        <v>0</v>
      </c>
      <c r="K31" s="457">
        <f t="shared" si="3"/>
        <v>0</v>
      </c>
      <c r="L31" s="457">
        <f t="shared" si="3"/>
        <v>0</v>
      </c>
      <c r="M31" s="457">
        <f t="shared" si="3"/>
        <v>0</v>
      </c>
      <c r="N31" s="457">
        <f t="shared" si="3"/>
        <v>0</v>
      </c>
      <c r="O31" s="208"/>
      <c r="P31" s="208"/>
    </row>
    <row r="32" spans="1:16" ht="18.600000000000001" hidden="1" thickBot="1" x14ac:dyDescent="0.4">
      <c r="A32" s="449"/>
      <c r="B32" s="476"/>
      <c r="C32" s="456"/>
      <c r="D32" s="456"/>
      <c r="E32" s="477"/>
      <c r="F32" s="458">
        <f>SUMIF(D4:D28,B35,F4:F28)</f>
        <v>0</v>
      </c>
      <c r="G32" s="460">
        <f>SUMIF($D4:$D28,$B35,G4:G28)</f>
        <v>0</v>
      </c>
      <c r="H32" s="467">
        <f t="shared" ref="H32:N32" si="4">SUMIF($D4:$D28,$B35,H4:H28)</f>
        <v>0</v>
      </c>
      <c r="I32" s="459">
        <f t="shared" si="4"/>
        <v>0</v>
      </c>
      <c r="J32" s="469">
        <f t="shared" si="4"/>
        <v>0</v>
      </c>
      <c r="K32" s="468">
        <f t="shared" si="4"/>
        <v>0</v>
      </c>
      <c r="L32" s="453">
        <f t="shared" si="4"/>
        <v>0</v>
      </c>
      <c r="M32" s="454">
        <f t="shared" si="4"/>
        <v>0</v>
      </c>
      <c r="N32" s="455">
        <f t="shared" si="4"/>
        <v>0</v>
      </c>
      <c r="O32" s="208"/>
      <c r="P32" s="208"/>
    </row>
    <row r="33" spans="1:16" ht="15" hidden="1" thickBot="1" x14ac:dyDescent="0.35">
      <c r="A33" s="470"/>
      <c r="B33" s="478"/>
      <c r="C33" s="81"/>
      <c r="D33" s="81"/>
      <c r="E33" s="479"/>
      <c r="F33" s="462">
        <f>COUNTIF($C4:$C28,1)</f>
        <v>19</v>
      </c>
      <c r="G33" s="461">
        <f t="shared" ref="G33:N33" si="5">COUNTIF($C4:$C28,1)</f>
        <v>19</v>
      </c>
      <c r="H33" s="465">
        <f t="shared" si="5"/>
        <v>19</v>
      </c>
      <c r="I33" s="466">
        <f t="shared" si="5"/>
        <v>19</v>
      </c>
      <c r="J33" s="462">
        <f t="shared" si="5"/>
        <v>19</v>
      </c>
      <c r="K33" s="349">
        <f t="shared" si="5"/>
        <v>19</v>
      </c>
      <c r="L33" s="343">
        <f t="shared" si="5"/>
        <v>19</v>
      </c>
      <c r="M33" s="349">
        <f t="shared" si="5"/>
        <v>19</v>
      </c>
      <c r="N33" s="350">
        <f t="shared" si="5"/>
        <v>19</v>
      </c>
      <c r="O33" s="208"/>
      <c r="P33" s="208"/>
    </row>
    <row r="34" spans="1:16" ht="15" hidden="1" customHeight="1" thickBot="1" x14ac:dyDescent="0.35">
      <c r="A34" s="471"/>
      <c r="B34" s="481"/>
      <c r="C34" s="333"/>
      <c r="D34" s="333"/>
      <c r="E34" s="482"/>
      <c r="F34" s="472">
        <f>SUMIF($C4:$C28,1,F4:F28)</f>
        <v>0.86</v>
      </c>
      <c r="G34" s="338">
        <f t="shared" ref="G34:N34" si="6">SUMIF($C4:$C28,1,G4:G28)</f>
        <v>1</v>
      </c>
      <c r="H34" s="463">
        <f t="shared" si="6"/>
        <v>0.74</v>
      </c>
      <c r="I34" s="464">
        <f t="shared" si="6"/>
        <v>1</v>
      </c>
      <c r="J34" s="337">
        <f t="shared" si="6"/>
        <v>1</v>
      </c>
      <c r="K34" s="338">
        <f t="shared" si="6"/>
        <v>0</v>
      </c>
      <c r="L34" s="337">
        <f t="shared" si="6"/>
        <v>0</v>
      </c>
      <c r="M34" s="338">
        <f t="shared" si="6"/>
        <v>0</v>
      </c>
      <c r="N34" s="348">
        <f t="shared" si="6"/>
        <v>0.92400000000000004</v>
      </c>
      <c r="O34" s="208"/>
      <c r="P34" s="208"/>
    </row>
    <row r="35" spans="1:16" ht="34.200000000000003" thickBot="1" x14ac:dyDescent="0.7">
      <c r="A35" s="487" t="s">
        <v>280</v>
      </c>
      <c r="B35" s="807"/>
      <c r="C35" s="808"/>
      <c r="D35" s="808"/>
      <c r="E35" s="809"/>
      <c r="F35" s="484" t="e">
        <f>F32/F31</f>
        <v>#DIV/0!</v>
      </c>
      <c r="G35" s="485" t="e">
        <f t="shared" ref="G35:N35" si="7">G32/G31</f>
        <v>#DIV/0!</v>
      </c>
      <c r="H35" s="485" t="e">
        <f t="shared" si="7"/>
        <v>#DIV/0!</v>
      </c>
      <c r="I35" s="485" t="e">
        <f t="shared" si="7"/>
        <v>#DIV/0!</v>
      </c>
      <c r="J35" s="485" t="e">
        <f t="shared" si="7"/>
        <v>#DIV/0!</v>
      </c>
      <c r="K35" s="485" t="e">
        <f t="shared" si="7"/>
        <v>#DIV/0!</v>
      </c>
      <c r="L35" s="485" t="e">
        <f t="shared" si="7"/>
        <v>#DIV/0!</v>
      </c>
      <c r="M35" s="485" t="e">
        <f t="shared" si="7"/>
        <v>#DIV/0!</v>
      </c>
      <c r="N35" s="486" t="e">
        <f t="shared" si="7"/>
        <v>#DIV/0!</v>
      </c>
      <c r="O35" s="208"/>
      <c r="P35" s="208"/>
    </row>
    <row r="36" spans="1:16" ht="21.6" hidden="1" thickBot="1" x14ac:dyDescent="0.45">
      <c r="A36" s="488"/>
      <c r="B36" s="802" t="s">
        <v>279</v>
      </c>
      <c r="C36" s="803"/>
      <c r="D36" s="803"/>
      <c r="E36" s="804"/>
      <c r="F36" s="805">
        <f>AVERAGE(F4:H28)</f>
        <v>0.77868572622031251</v>
      </c>
      <c r="G36" s="803"/>
      <c r="H36" s="804"/>
      <c r="I36" s="805">
        <f>AVERAGE(I4:J28)</f>
        <v>0.98809285714285722</v>
      </c>
      <c r="J36" s="804"/>
      <c r="K36" s="483"/>
      <c r="L36" s="805">
        <f>AVERAGE(L4:N28)</f>
        <v>0.8214285714285714</v>
      </c>
      <c r="M36" s="803"/>
      <c r="N36" s="806"/>
    </row>
  </sheetData>
  <mergeCells count="22">
    <mergeCell ref="B1:N1"/>
    <mergeCell ref="B2:E2"/>
    <mergeCell ref="F2:N2"/>
    <mergeCell ref="B36:E36"/>
    <mergeCell ref="F36:H36"/>
    <mergeCell ref="I36:J36"/>
    <mergeCell ref="L36:N36"/>
    <mergeCell ref="B35:E35"/>
    <mergeCell ref="B30:E30"/>
    <mergeCell ref="A29:E29"/>
    <mergeCell ref="A11:A12"/>
    <mergeCell ref="A9:A10"/>
    <mergeCell ref="A4:A5"/>
    <mergeCell ref="A27:A28"/>
    <mergeCell ref="A15:A16"/>
    <mergeCell ref="A6:A8"/>
    <mergeCell ref="A13:A14"/>
    <mergeCell ref="A25:A26"/>
    <mergeCell ref="A23:A24"/>
    <mergeCell ref="A21:A22"/>
    <mergeCell ref="A19:A20"/>
    <mergeCell ref="A17:A18"/>
  </mergeCells>
  <conditionalFormatting sqref="F29:F30 H29:H30 J29:J30 L29:L30 N30">
    <cfRule type="containsErrors" dxfId="292" priority="11">
      <formula>ISERROR(F29)</formula>
    </cfRule>
  </conditionalFormatting>
  <conditionalFormatting sqref="F35:N35">
    <cfRule type="containsErrors" dxfId="291" priority="3">
      <formula>ISERROR(F35)</formula>
    </cfRule>
    <cfRule type="cellIs" dxfId="290" priority="6" operator="lessThan">
      <formula>0.8</formula>
    </cfRule>
    <cfRule type="cellIs" dxfId="289" priority="7" operator="greaterThan">
      <formula>0.79</formula>
    </cfRule>
  </conditionalFormatting>
  <conditionalFormatting sqref="F36:N36">
    <cfRule type="containsErrors" dxfId="288" priority="2">
      <formula>ISERROR(F36)</formula>
    </cfRule>
  </conditionalFormatting>
  <conditionalFormatting sqref="G29:G30 I29:I30 K29:K30 M29:M30">
    <cfRule type="containsErrors" dxfId="287" priority="4">
      <formula>ISERROR(G29)</formula>
    </cfRule>
  </conditionalFormatting>
  <conditionalFormatting sqref="N29">
    <cfRule type="containsErrors" dxfId="286" priority="1">
      <formula>ISERROR(N29)</formula>
    </cfRule>
  </conditionalFormatting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31C91-F646-469B-A21F-B48FF619084D}">
  <dimension ref="A1:P35"/>
  <sheetViews>
    <sheetView workbookViewId="0">
      <selection activeCell="D11" sqref="D11"/>
    </sheetView>
  </sheetViews>
  <sheetFormatPr defaultRowHeight="14.4" x14ac:dyDescent="0.3"/>
  <cols>
    <col min="1" max="1" width="14.5546875" bestFit="1" customWidth="1"/>
    <col min="2" max="2" width="13.6640625" customWidth="1"/>
    <col min="3" max="3" width="3.6640625" hidden="1" customWidth="1"/>
    <col min="4" max="4" width="9.88671875" customWidth="1"/>
    <col min="6" max="6" width="24.6640625" customWidth="1"/>
    <col min="7" max="7" width="23.5546875" customWidth="1"/>
    <col min="8" max="8" width="23.33203125" customWidth="1"/>
    <col min="9" max="9" width="16" customWidth="1"/>
    <col min="10" max="10" width="14" customWidth="1"/>
    <col min="11" max="11" width="24.33203125" hidden="1" customWidth="1"/>
    <col min="12" max="12" width="22" hidden="1" customWidth="1"/>
    <col min="13" max="13" width="19.109375" hidden="1" customWidth="1"/>
    <col min="14" max="14" width="13.6640625" customWidth="1"/>
    <col min="15" max="15" width="10.33203125" hidden="1" customWidth="1"/>
    <col min="16" max="16" width="0" hidden="1" customWidth="1"/>
  </cols>
  <sheetData>
    <row r="1" spans="1:16" ht="21.6" thickBot="1" x14ac:dyDescent="0.45">
      <c r="B1" s="793" t="s">
        <v>283</v>
      </c>
      <c r="C1" s="794"/>
      <c r="D1" s="794"/>
      <c r="E1" s="794"/>
      <c r="F1" s="794"/>
      <c r="G1" s="794"/>
      <c r="H1" s="794"/>
      <c r="I1" s="794"/>
      <c r="J1" s="794"/>
      <c r="K1" s="794"/>
      <c r="L1" s="794"/>
      <c r="M1" s="794"/>
      <c r="N1" s="794"/>
      <c r="O1" s="208"/>
      <c r="P1" s="208"/>
    </row>
    <row r="2" spans="1:16" ht="15" thickBot="1" x14ac:dyDescent="0.35">
      <c r="B2" s="795" t="s">
        <v>273</v>
      </c>
      <c r="C2" s="796"/>
      <c r="D2" s="797"/>
      <c r="E2" s="798"/>
      <c r="F2" s="799" t="s">
        <v>274</v>
      </c>
      <c r="G2" s="800"/>
      <c r="H2" s="800"/>
      <c r="I2" s="800"/>
      <c r="J2" s="800"/>
      <c r="K2" s="800"/>
      <c r="L2" s="800"/>
      <c r="M2" s="800"/>
      <c r="N2" s="801"/>
      <c r="O2" s="208"/>
      <c r="P2" s="208"/>
    </row>
    <row r="3" spans="1:16" ht="15" thickBot="1" x14ac:dyDescent="0.35">
      <c r="B3" s="329" t="s">
        <v>257</v>
      </c>
      <c r="C3" s="333">
        <f>IF(E3=B$29,1,0)</f>
        <v>0</v>
      </c>
      <c r="D3" s="329" t="s">
        <v>280</v>
      </c>
      <c r="E3" s="329" t="s">
        <v>258</v>
      </c>
      <c r="F3" s="330" t="str">
        <f>[1]Original!$A$2</f>
        <v>Limpeza e Higienização</v>
      </c>
      <c r="G3" s="329" t="str">
        <f>[1]Original!$A$3</f>
        <v>Prevenção e Contaminação</v>
      </c>
      <c r="H3" s="330" t="str">
        <f>[1]Original!$A$4</f>
        <v>Armazenamento</v>
      </c>
      <c r="I3" s="329" t="str">
        <f>[1]Original!$A$5</f>
        <v>Confeção</v>
      </c>
      <c r="J3" s="330" t="str">
        <f>[1]Original!$A$6</f>
        <v>Geral</v>
      </c>
      <c r="K3" s="329" t="s">
        <v>275</v>
      </c>
      <c r="L3" s="330" t="s">
        <v>276</v>
      </c>
      <c r="M3" s="329" t="s">
        <v>277</v>
      </c>
      <c r="N3" s="353" t="s">
        <v>259</v>
      </c>
      <c r="O3" s="370"/>
      <c r="P3" s="370"/>
    </row>
    <row r="4" spans="1:16" x14ac:dyDescent="0.3">
      <c r="A4" s="791" t="s">
        <v>260</v>
      </c>
      <c r="B4" s="356">
        <v>45299</v>
      </c>
      <c r="C4" s="333">
        <v>1</v>
      </c>
      <c r="D4" s="104">
        <v>20</v>
      </c>
      <c r="E4" s="104" t="s">
        <v>284</v>
      </c>
      <c r="F4" s="357">
        <v>1</v>
      </c>
      <c r="G4" s="358">
        <v>0.61</v>
      </c>
      <c r="H4" s="357">
        <v>0.5</v>
      </c>
      <c r="I4" s="358">
        <v>1</v>
      </c>
      <c r="J4" s="357">
        <v>1</v>
      </c>
      <c r="K4" s="358"/>
      <c r="L4" s="357"/>
      <c r="M4" s="358"/>
      <c r="N4" s="359">
        <v>0.76</v>
      </c>
      <c r="O4" s="448" t="s">
        <v>284</v>
      </c>
      <c r="P4" s="351">
        <f>AVERAGEIFS(N$4:N$27,E$4:E$27,"Bruna")</f>
        <v>0.76</v>
      </c>
    </row>
    <row r="5" spans="1:16" ht="15" thickBot="1" x14ac:dyDescent="0.35">
      <c r="A5" s="792"/>
      <c r="B5" s="360">
        <v>45313</v>
      </c>
      <c r="C5" s="333">
        <v>0</v>
      </c>
      <c r="D5" s="362">
        <v>32</v>
      </c>
      <c r="E5" s="362" t="s">
        <v>289</v>
      </c>
      <c r="F5" s="363">
        <v>1</v>
      </c>
      <c r="G5" s="364">
        <v>0.61</v>
      </c>
      <c r="H5" s="363">
        <v>0.5</v>
      </c>
      <c r="I5" s="364">
        <v>1</v>
      </c>
      <c r="J5" s="363">
        <v>0.46</v>
      </c>
      <c r="K5" s="364"/>
      <c r="L5" s="363"/>
      <c r="M5" s="364"/>
      <c r="N5" s="365">
        <v>0.68</v>
      </c>
      <c r="O5" s="448" t="s">
        <v>288</v>
      </c>
      <c r="P5" s="351" t="e">
        <f>AVERAGEIFS(N$4:N$27,E$4:E$27,"Claudia")</f>
        <v>#DIV/0!</v>
      </c>
    </row>
    <row r="6" spans="1:16" x14ac:dyDescent="0.3">
      <c r="A6" s="816" t="s">
        <v>262</v>
      </c>
      <c r="B6" s="334">
        <v>45324</v>
      </c>
      <c r="C6" s="333">
        <v>0</v>
      </c>
      <c r="D6" s="81">
        <v>32</v>
      </c>
      <c r="E6" s="81" t="s">
        <v>385</v>
      </c>
      <c r="F6" s="335">
        <v>1</v>
      </c>
      <c r="G6" s="336">
        <v>0.5</v>
      </c>
      <c r="H6" s="335">
        <v>0.52</v>
      </c>
      <c r="I6" s="336">
        <v>0.81</v>
      </c>
      <c r="J6" s="335">
        <v>1</v>
      </c>
      <c r="K6" s="336"/>
      <c r="L6" s="335"/>
      <c r="M6" s="336"/>
      <c r="N6" s="345">
        <v>0.68</v>
      </c>
      <c r="O6" s="448" t="s">
        <v>261</v>
      </c>
      <c r="P6" s="351" t="e">
        <f>AVERAGEIFS(N$4:N$27,E$4:E$27,"Hugo")</f>
        <v>#DIV/0!</v>
      </c>
    </row>
    <row r="7" spans="1:16" ht="15" thickBot="1" x14ac:dyDescent="0.35">
      <c r="A7" s="792"/>
      <c r="B7" s="360">
        <v>45338</v>
      </c>
      <c r="C7" s="333">
        <v>0</v>
      </c>
      <c r="D7" s="333">
        <v>20</v>
      </c>
      <c r="E7" s="333" t="s">
        <v>286</v>
      </c>
      <c r="F7" s="337">
        <v>1</v>
      </c>
      <c r="G7" s="338">
        <v>0.74</v>
      </c>
      <c r="H7" s="337">
        <v>0.5</v>
      </c>
      <c r="I7" s="338">
        <v>1</v>
      </c>
      <c r="J7" s="337">
        <v>1</v>
      </c>
      <c r="K7" s="338">
        <v>0.5</v>
      </c>
      <c r="L7" s="337">
        <v>1</v>
      </c>
      <c r="M7" s="338">
        <v>1</v>
      </c>
      <c r="N7" s="354">
        <v>0.82099999999999995</v>
      </c>
      <c r="O7" s="448" t="s">
        <v>285</v>
      </c>
      <c r="P7" s="351" t="e">
        <f>AVERAGEIFS(N$4:N$27,E$4:E$27,"Isaac")</f>
        <v>#DIV/0!</v>
      </c>
    </row>
    <row r="8" spans="1:16" x14ac:dyDescent="0.3">
      <c r="A8" s="791" t="s">
        <v>263</v>
      </c>
      <c r="B8" s="366"/>
      <c r="C8" s="104">
        <f t="shared" ref="C8:C27" si="0">IF(E8=B$29,1,0)</f>
        <v>0</v>
      </c>
      <c r="D8" s="104"/>
      <c r="E8" s="104"/>
      <c r="F8" s="357"/>
      <c r="G8" s="358"/>
      <c r="H8" s="357"/>
      <c r="I8" s="358"/>
      <c r="J8" s="357"/>
      <c r="K8" s="358"/>
      <c r="L8" s="357"/>
      <c r="M8" s="358"/>
      <c r="N8" s="367"/>
      <c r="O8" s="448" t="s">
        <v>286</v>
      </c>
      <c r="P8" s="351">
        <f>AVERAGEIFS(N$4:N$27,E$4:E$27,"Isabel")</f>
        <v>0.82099999999999995</v>
      </c>
    </row>
    <row r="9" spans="1:16" ht="15" thickBot="1" x14ac:dyDescent="0.35">
      <c r="A9" s="792"/>
      <c r="B9" s="368"/>
      <c r="C9" s="361">
        <f t="shared" si="0"/>
        <v>0</v>
      </c>
      <c r="D9" s="361"/>
      <c r="E9" s="361"/>
      <c r="F9" s="363"/>
      <c r="G9" s="364"/>
      <c r="H9" s="363"/>
      <c r="I9" s="364"/>
      <c r="J9" s="363"/>
      <c r="K9" s="364"/>
      <c r="L9" s="363"/>
      <c r="M9" s="364"/>
      <c r="N9" s="369"/>
      <c r="O9" s="448" t="s">
        <v>287</v>
      </c>
      <c r="P9" s="351" t="e">
        <f>AVERAGEIFS(N$4:N$27,E$4:E$27,"Janice")</f>
        <v>#DIV/0!</v>
      </c>
    </row>
    <row r="10" spans="1:16" x14ac:dyDescent="0.3">
      <c r="A10" s="791" t="s">
        <v>264</v>
      </c>
      <c r="B10" s="331"/>
      <c r="C10" s="81">
        <f t="shared" si="0"/>
        <v>0</v>
      </c>
      <c r="D10" s="81"/>
      <c r="E10" s="81"/>
      <c r="F10" s="335"/>
      <c r="G10" s="336"/>
      <c r="H10" s="335"/>
      <c r="I10" s="336"/>
      <c r="J10" s="335"/>
      <c r="K10" s="336"/>
      <c r="L10" s="335"/>
      <c r="M10" s="336"/>
      <c r="N10" s="355"/>
      <c r="O10" s="448" t="s">
        <v>282</v>
      </c>
      <c r="P10" s="351" t="e">
        <f>AVERAGEIFS(N$4:N$27,E$4:E$27,"Luis")</f>
        <v>#DIV/0!</v>
      </c>
    </row>
    <row r="11" spans="1:16" ht="15" thickBot="1" x14ac:dyDescent="0.35">
      <c r="A11" s="792"/>
      <c r="B11" s="332"/>
      <c r="C11" s="333">
        <f t="shared" si="0"/>
        <v>0</v>
      </c>
      <c r="D11" s="333"/>
      <c r="E11" s="333"/>
      <c r="F11" s="337"/>
      <c r="G11" s="338"/>
      <c r="H11" s="337"/>
      <c r="I11" s="338"/>
      <c r="J11" s="337"/>
      <c r="K11" s="338"/>
      <c r="L11" s="337"/>
      <c r="M11" s="338"/>
      <c r="N11" s="346"/>
      <c r="O11" s="448" t="s">
        <v>278</v>
      </c>
      <c r="P11" s="351" t="e">
        <f>AVERAGEIFS(N$4:N$27,E$4:E$27,"Marília")</f>
        <v>#DIV/0!</v>
      </c>
    </row>
    <row r="12" spans="1:16" x14ac:dyDescent="0.3">
      <c r="A12" s="791" t="s">
        <v>265</v>
      </c>
      <c r="B12" s="366"/>
      <c r="C12" s="104">
        <f t="shared" si="0"/>
        <v>0</v>
      </c>
      <c r="D12" s="104"/>
      <c r="E12" s="104"/>
      <c r="F12" s="357"/>
      <c r="G12" s="358"/>
      <c r="H12" s="357"/>
      <c r="I12" s="358"/>
      <c r="J12" s="357"/>
      <c r="K12" s="358"/>
      <c r="L12" s="357"/>
      <c r="M12" s="358"/>
      <c r="N12" s="367"/>
      <c r="O12" s="448" t="s">
        <v>290</v>
      </c>
      <c r="P12" s="351" t="e">
        <f>AVERAGEIFS(N$4:N$27,E$4:E$27,"Uilson")</f>
        <v>#DIV/0!</v>
      </c>
    </row>
    <row r="13" spans="1:16" ht="15" thickBot="1" x14ac:dyDescent="0.35">
      <c r="A13" s="792"/>
      <c r="B13" s="368"/>
      <c r="C13" s="361">
        <f t="shared" si="0"/>
        <v>0</v>
      </c>
      <c r="D13" s="361"/>
      <c r="E13" s="361"/>
      <c r="F13" s="363"/>
      <c r="G13" s="364"/>
      <c r="H13" s="363"/>
      <c r="I13" s="364"/>
      <c r="J13" s="363"/>
      <c r="K13" s="364"/>
      <c r="L13" s="363"/>
      <c r="M13" s="364"/>
      <c r="N13" s="369"/>
      <c r="O13" s="448" t="s">
        <v>289</v>
      </c>
      <c r="P13" s="351">
        <f>AVERAGEIFS(N$4:N$27,E$4:E$27,"Vitor")</f>
        <v>0.68</v>
      </c>
    </row>
    <row r="14" spans="1:16" x14ac:dyDescent="0.3">
      <c r="A14" s="791" t="s">
        <v>266</v>
      </c>
      <c r="B14" s="331"/>
      <c r="C14" s="81">
        <f t="shared" si="0"/>
        <v>0</v>
      </c>
      <c r="D14" s="81"/>
      <c r="E14" s="81"/>
      <c r="F14" s="335"/>
      <c r="G14" s="336"/>
      <c r="H14" s="335"/>
      <c r="I14" s="336"/>
      <c r="J14" s="335"/>
      <c r="K14" s="336"/>
      <c r="L14" s="335"/>
      <c r="M14" s="336"/>
      <c r="N14" s="355"/>
      <c r="O14" s="448" t="s">
        <v>291</v>
      </c>
      <c r="P14" s="351" t="e">
        <f>AVERAGEIFS(N$4:N$27,E$4:E$27,"William")</f>
        <v>#DIV/0!</v>
      </c>
    </row>
    <row r="15" spans="1:16" ht="15" thickBot="1" x14ac:dyDescent="0.35">
      <c r="A15" s="792"/>
      <c r="B15" s="332"/>
      <c r="C15" s="333">
        <f t="shared" si="0"/>
        <v>0</v>
      </c>
      <c r="D15" s="333"/>
      <c r="E15" s="333"/>
      <c r="F15" s="337"/>
      <c r="G15" s="338"/>
      <c r="H15" s="337"/>
      <c r="I15" s="338"/>
      <c r="J15" s="337"/>
      <c r="K15" s="338"/>
      <c r="L15" s="337"/>
      <c r="M15" s="338"/>
      <c r="N15" s="346"/>
      <c r="O15" s="448" t="s">
        <v>123</v>
      </c>
      <c r="P15" s="352" t="e">
        <f>AVERAGE(P4:P14)</f>
        <v>#DIV/0!</v>
      </c>
    </row>
    <row r="16" spans="1:16" x14ac:dyDescent="0.3">
      <c r="A16" s="791" t="s">
        <v>267</v>
      </c>
      <c r="B16" s="366"/>
      <c r="C16" s="104">
        <f t="shared" si="0"/>
        <v>0</v>
      </c>
      <c r="D16" s="104"/>
      <c r="E16" s="104"/>
      <c r="F16" s="357"/>
      <c r="G16" s="358"/>
      <c r="H16" s="357"/>
      <c r="I16" s="358"/>
      <c r="J16" s="357"/>
      <c r="K16" s="358"/>
      <c r="L16" s="357"/>
      <c r="M16" s="358"/>
      <c r="N16" s="367"/>
      <c r="O16" s="448"/>
      <c r="P16" s="448"/>
    </row>
    <row r="17" spans="1:16" ht="15" thickBot="1" x14ac:dyDescent="0.35">
      <c r="A17" s="792"/>
      <c r="B17" s="368"/>
      <c r="C17" s="361">
        <f t="shared" si="0"/>
        <v>0</v>
      </c>
      <c r="D17" s="361"/>
      <c r="E17" s="361"/>
      <c r="F17" s="363"/>
      <c r="G17" s="364"/>
      <c r="H17" s="363"/>
      <c r="I17" s="364"/>
      <c r="J17" s="363"/>
      <c r="K17" s="364"/>
      <c r="L17" s="363"/>
      <c r="M17" s="364"/>
      <c r="N17" s="369"/>
      <c r="O17" s="370"/>
      <c r="P17" s="370"/>
    </row>
    <row r="18" spans="1:16" x14ac:dyDescent="0.3">
      <c r="A18" s="791" t="s">
        <v>268</v>
      </c>
      <c r="B18" s="331"/>
      <c r="C18" s="81">
        <f t="shared" si="0"/>
        <v>0</v>
      </c>
      <c r="D18" s="81"/>
      <c r="E18" s="81"/>
      <c r="F18" s="335"/>
      <c r="G18" s="336"/>
      <c r="H18" s="335"/>
      <c r="I18" s="336"/>
      <c r="J18" s="335"/>
      <c r="K18" s="336"/>
      <c r="L18" s="335"/>
      <c r="M18" s="336"/>
      <c r="N18" s="355"/>
      <c r="O18" s="370"/>
      <c r="P18" s="370"/>
    </row>
    <row r="19" spans="1:16" ht="15" thickBot="1" x14ac:dyDescent="0.35">
      <c r="A19" s="792"/>
      <c r="B19" s="332"/>
      <c r="C19" s="333">
        <f t="shared" si="0"/>
        <v>0</v>
      </c>
      <c r="D19" s="333"/>
      <c r="E19" s="333"/>
      <c r="F19" s="337"/>
      <c r="G19" s="338"/>
      <c r="H19" s="337"/>
      <c r="I19" s="338"/>
      <c r="J19" s="337"/>
      <c r="K19" s="338"/>
      <c r="L19" s="337"/>
      <c r="M19" s="338"/>
      <c r="N19" s="346"/>
      <c r="O19" s="370"/>
      <c r="P19" s="370"/>
    </row>
    <row r="20" spans="1:16" x14ac:dyDescent="0.3">
      <c r="A20" s="791" t="s">
        <v>269</v>
      </c>
      <c r="B20" s="366"/>
      <c r="C20" s="104">
        <f t="shared" si="0"/>
        <v>0</v>
      </c>
      <c r="D20" s="104"/>
      <c r="E20" s="104"/>
      <c r="F20" s="357"/>
      <c r="G20" s="358"/>
      <c r="H20" s="357"/>
      <c r="I20" s="358"/>
      <c r="J20" s="357"/>
      <c r="K20" s="358"/>
      <c r="L20" s="357"/>
      <c r="M20" s="358"/>
      <c r="N20" s="367"/>
      <c r="O20" s="370"/>
      <c r="P20" s="370"/>
    </row>
    <row r="21" spans="1:16" ht="15" thickBot="1" x14ac:dyDescent="0.35">
      <c r="A21" s="792"/>
      <c r="B21" s="368"/>
      <c r="C21" s="361">
        <f t="shared" si="0"/>
        <v>0</v>
      </c>
      <c r="D21" s="361"/>
      <c r="E21" s="361"/>
      <c r="F21" s="363"/>
      <c r="G21" s="364"/>
      <c r="H21" s="363"/>
      <c r="I21" s="364"/>
      <c r="J21" s="363"/>
      <c r="K21" s="342"/>
      <c r="L21" s="363"/>
      <c r="M21" s="364"/>
      <c r="N21" s="369"/>
      <c r="O21" s="370"/>
      <c r="P21" s="370"/>
    </row>
    <row r="22" spans="1:16" x14ac:dyDescent="0.3">
      <c r="A22" s="791" t="s">
        <v>270</v>
      </c>
      <c r="B22" s="331"/>
      <c r="C22" s="81">
        <f t="shared" si="0"/>
        <v>0</v>
      </c>
      <c r="D22" s="81"/>
      <c r="E22" s="81"/>
      <c r="F22" s="335"/>
      <c r="G22" s="336"/>
      <c r="H22" s="335"/>
      <c r="I22" s="336"/>
      <c r="J22" s="335"/>
      <c r="K22" s="336"/>
      <c r="L22" s="335"/>
      <c r="M22" s="336"/>
      <c r="N22" s="355"/>
      <c r="O22" s="370"/>
      <c r="P22" s="370"/>
    </row>
    <row r="23" spans="1:16" ht="15" thickBot="1" x14ac:dyDescent="0.35">
      <c r="A23" s="792"/>
      <c r="B23" s="332"/>
      <c r="C23" s="333">
        <f t="shared" si="0"/>
        <v>0</v>
      </c>
      <c r="D23" s="333"/>
      <c r="E23" s="333"/>
      <c r="F23" s="337"/>
      <c r="G23" s="338"/>
      <c r="H23" s="337"/>
      <c r="I23" s="338"/>
      <c r="J23" s="337"/>
      <c r="K23" s="338"/>
      <c r="L23" s="337"/>
      <c r="M23" s="338"/>
      <c r="N23" s="346"/>
      <c r="O23" s="370"/>
      <c r="P23" s="370"/>
    </row>
    <row r="24" spans="1:16" x14ac:dyDescent="0.3">
      <c r="A24" s="791" t="s">
        <v>271</v>
      </c>
      <c r="B24" s="366"/>
      <c r="C24" s="104">
        <f t="shared" si="0"/>
        <v>0</v>
      </c>
      <c r="D24" s="104"/>
      <c r="E24" s="104"/>
      <c r="F24" s="357"/>
      <c r="G24" s="358"/>
      <c r="H24" s="357"/>
      <c r="I24" s="358"/>
      <c r="J24" s="357"/>
      <c r="K24" s="358"/>
      <c r="L24" s="357"/>
      <c r="M24" s="358"/>
      <c r="N24" s="367"/>
      <c r="O24" s="208"/>
      <c r="P24" s="208"/>
    </row>
    <row r="25" spans="1:16" ht="15" thickBot="1" x14ac:dyDescent="0.35">
      <c r="A25" s="792"/>
      <c r="B25" s="368"/>
      <c r="C25" s="361">
        <f t="shared" si="0"/>
        <v>0</v>
      </c>
      <c r="D25" s="361"/>
      <c r="E25" s="361"/>
      <c r="F25" s="363"/>
      <c r="G25" s="364"/>
      <c r="H25" s="363"/>
      <c r="I25" s="364"/>
      <c r="J25" s="363"/>
      <c r="K25" s="364"/>
      <c r="L25" s="363"/>
      <c r="M25" s="364"/>
      <c r="N25" s="369"/>
      <c r="O25" s="208"/>
      <c r="P25" s="208"/>
    </row>
    <row r="26" spans="1:16" x14ac:dyDescent="0.3">
      <c r="A26" s="791" t="s">
        <v>272</v>
      </c>
      <c r="B26" s="331"/>
      <c r="C26" s="81">
        <f t="shared" si="0"/>
        <v>0</v>
      </c>
      <c r="D26" s="81"/>
      <c r="E26" s="81"/>
      <c r="F26" s="335"/>
      <c r="G26" s="336"/>
      <c r="H26" s="335"/>
      <c r="I26" s="336"/>
      <c r="J26" s="335"/>
      <c r="K26" s="336"/>
      <c r="L26" s="335"/>
      <c r="M26" s="336"/>
      <c r="N26" s="355"/>
      <c r="O26" s="208"/>
      <c r="P26" s="208"/>
    </row>
    <row r="27" spans="1:16" ht="15" thickBot="1" x14ac:dyDescent="0.35">
      <c r="A27" s="816"/>
      <c r="B27" s="332"/>
      <c r="C27" s="333">
        <f t="shared" si="0"/>
        <v>0</v>
      </c>
      <c r="D27" s="333"/>
      <c r="E27" s="333"/>
      <c r="F27" s="337"/>
      <c r="G27" s="338"/>
      <c r="H27" s="337"/>
      <c r="I27" s="338"/>
      <c r="J27" s="337"/>
      <c r="K27" s="338"/>
      <c r="L27" s="337"/>
      <c r="M27" s="338"/>
      <c r="N27" s="346"/>
      <c r="O27" s="208"/>
      <c r="P27" s="208"/>
    </row>
    <row r="28" spans="1:16" ht="15" thickBot="1" x14ac:dyDescent="0.35">
      <c r="A28" s="813" t="s">
        <v>281</v>
      </c>
      <c r="B28" s="814"/>
      <c r="C28" s="814"/>
      <c r="D28" s="814"/>
      <c r="E28" s="815"/>
      <c r="F28" s="339">
        <f>AVERAGE(F4:F27)</f>
        <v>1</v>
      </c>
      <c r="G28" s="340">
        <f t="shared" ref="G28:N28" si="1">AVERAGE(G4:G27)</f>
        <v>0.61499999999999999</v>
      </c>
      <c r="H28" s="339">
        <f t="shared" si="1"/>
        <v>0.505</v>
      </c>
      <c r="I28" s="340">
        <f t="shared" si="1"/>
        <v>0.95250000000000001</v>
      </c>
      <c r="J28" s="339">
        <f t="shared" si="1"/>
        <v>0.86499999999999999</v>
      </c>
      <c r="K28" s="340">
        <f t="shared" si="1"/>
        <v>0.5</v>
      </c>
      <c r="L28" s="339">
        <f t="shared" si="1"/>
        <v>1</v>
      </c>
      <c r="M28" s="340">
        <f t="shared" si="1"/>
        <v>1</v>
      </c>
      <c r="N28" s="347">
        <f t="shared" si="1"/>
        <v>0.73524999999999996</v>
      </c>
      <c r="O28" s="208"/>
      <c r="P28" s="208"/>
    </row>
    <row r="29" spans="1:16" ht="18.600000000000001" thickBot="1" x14ac:dyDescent="0.4">
      <c r="A29" s="344" t="s">
        <v>258</v>
      </c>
      <c r="B29" s="810" t="s">
        <v>289</v>
      </c>
      <c r="C29" s="811"/>
      <c r="D29" s="811"/>
      <c r="E29" s="812"/>
      <c r="F29" s="450">
        <f t="shared" ref="F29:N29" si="2">F33/F32</f>
        <v>1</v>
      </c>
      <c r="G29" s="451">
        <f t="shared" si="2"/>
        <v>0.61</v>
      </c>
      <c r="H29" s="450">
        <f t="shared" si="2"/>
        <v>0.5</v>
      </c>
      <c r="I29" s="451">
        <f t="shared" si="2"/>
        <v>1</v>
      </c>
      <c r="J29" s="450">
        <f t="shared" si="2"/>
        <v>1</v>
      </c>
      <c r="K29" s="451">
        <f t="shared" si="2"/>
        <v>0</v>
      </c>
      <c r="L29" s="450">
        <f t="shared" si="2"/>
        <v>0</v>
      </c>
      <c r="M29" s="451">
        <f t="shared" si="2"/>
        <v>0</v>
      </c>
      <c r="N29" s="452">
        <f t="shared" si="2"/>
        <v>0.76</v>
      </c>
      <c r="O29" s="208"/>
      <c r="P29" s="208"/>
    </row>
    <row r="30" spans="1:16" ht="18.600000000000001" hidden="1" thickBot="1" x14ac:dyDescent="0.4">
      <c r="A30" s="449"/>
      <c r="B30" s="473"/>
      <c r="C30" s="474"/>
      <c r="D30" s="474"/>
      <c r="E30" s="475"/>
      <c r="F30" s="457">
        <f>COUNTIF($D4:$D27,$B34)</f>
        <v>0</v>
      </c>
      <c r="G30" s="457">
        <f t="shared" ref="G30:N30" si="3">COUNTIF($D4:$D27,$B34)</f>
        <v>0</v>
      </c>
      <c r="H30" s="457">
        <f t="shared" si="3"/>
        <v>0</v>
      </c>
      <c r="I30" s="457">
        <f t="shared" si="3"/>
        <v>0</v>
      </c>
      <c r="J30" s="457">
        <f t="shared" si="3"/>
        <v>0</v>
      </c>
      <c r="K30" s="457">
        <f t="shared" si="3"/>
        <v>0</v>
      </c>
      <c r="L30" s="457">
        <f t="shared" si="3"/>
        <v>0</v>
      </c>
      <c r="M30" s="457">
        <f t="shared" si="3"/>
        <v>0</v>
      </c>
      <c r="N30" s="457">
        <f t="shared" si="3"/>
        <v>0</v>
      </c>
      <c r="O30" s="208"/>
      <c r="P30" s="208"/>
    </row>
    <row r="31" spans="1:16" ht="18.600000000000001" hidden="1" thickBot="1" x14ac:dyDescent="0.4">
      <c r="A31" s="449"/>
      <c r="B31" s="476"/>
      <c r="C31" s="456"/>
      <c r="D31" s="456"/>
      <c r="E31" s="477"/>
      <c r="F31" s="458">
        <f>SUMIF(D4:D27,B34,F4:F27)</f>
        <v>0</v>
      </c>
      <c r="G31" s="460">
        <f>SUMIF($D4:$D27,$B34,G4:G27)</f>
        <v>0</v>
      </c>
      <c r="H31" s="467">
        <f t="shared" ref="H31:N31" si="4">SUMIF($D4:$D27,$B34,H4:H27)</f>
        <v>0</v>
      </c>
      <c r="I31" s="459">
        <f t="shared" si="4"/>
        <v>0</v>
      </c>
      <c r="J31" s="469">
        <f t="shared" si="4"/>
        <v>0</v>
      </c>
      <c r="K31" s="468">
        <f t="shared" si="4"/>
        <v>0</v>
      </c>
      <c r="L31" s="453">
        <f t="shared" si="4"/>
        <v>0</v>
      </c>
      <c r="M31" s="454">
        <f t="shared" si="4"/>
        <v>0</v>
      </c>
      <c r="N31" s="455">
        <f t="shared" si="4"/>
        <v>0</v>
      </c>
      <c r="O31" s="208"/>
      <c r="P31" s="208"/>
    </row>
    <row r="32" spans="1:16" ht="15" hidden="1" thickBot="1" x14ac:dyDescent="0.35">
      <c r="A32" s="470"/>
      <c r="B32" s="478"/>
      <c r="C32" s="81"/>
      <c r="D32" s="81"/>
      <c r="E32" s="479"/>
      <c r="F32" s="462">
        <f>COUNTIF($C4:$C27,1)</f>
        <v>1</v>
      </c>
      <c r="G32" s="461">
        <f t="shared" ref="G32:N32" si="5">COUNTIF($C4:$C27,1)</f>
        <v>1</v>
      </c>
      <c r="H32" s="465">
        <f t="shared" si="5"/>
        <v>1</v>
      </c>
      <c r="I32" s="466">
        <f t="shared" si="5"/>
        <v>1</v>
      </c>
      <c r="J32" s="462">
        <f t="shared" si="5"/>
        <v>1</v>
      </c>
      <c r="K32" s="349">
        <f t="shared" si="5"/>
        <v>1</v>
      </c>
      <c r="L32" s="343">
        <f t="shared" si="5"/>
        <v>1</v>
      </c>
      <c r="M32" s="349">
        <f t="shared" si="5"/>
        <v>1</v>
      </c>
      <c r="N32" s="350">
        <f t="shared" si="5"/>
        <v>1</v>
      </c>
      <c r="O32" s="208"/>
      <c r="P32" s="208"/>
    </row>
    <row r="33" spans="1:16" ht="15" hidden="1" customHeight="1" thickBot="1" x14ac:dyDescent="0.35">
      <c r="A33" s="471"/>
      <c r="B33" s="481"/>
      <c r="C33" s="333"/>
      <c r="D33" s="333"/>
      <c r="E33" s="482"/>
      <c r="F33" s="472">
        <f>SUMIF($C4:$C27,1,F4:F27)</f>
        <v>1</v>
      </c>
      <c r="G33" s="338">
        <f t="shared" ref="G33:N33" si="6">SUMIF($C4:$C27,1,G4:G27)</f>
        <v>0.61</v>
      </c>
      <c r="H33" s="463">
        <f t="shared" si="6"/>
        <v>0.5</v>
      </c>
      <c r="I33" s="464">
        <f t="shared" si="6"/>
        <v>1</v>
      </c>
      <c r="J33" s="337">
        <f t="shared" si="6"/>
        <v>1</v>
      </c>
      <c r="K33" s="338">
        <f t="shared" si="6"/>
        <v>0</v>
      </c>
      <c r="L33" s="337">
        <f t="shared" si="6"/>
        <v>0</v>
      </c>
      <c r="M33" s="338">
        <f t="shared" si="6"/>
        <v>0</v>
      </c>
      <c r="N33" s="348">
        <f t="shared" si="6"/>
        <v>0.76</v>
      </c>
      <c r="O33" s="208"/>
      <c r="P33" s="208"/>
    </row>
    <row r="34" spans="1:16" ht="34.200000000000003" thickBot="1" x14ac:dyDescent="0.7">
      <c r="A34" s="480" t="s">
        <v>280</v>
      </c>
      <c r="B34" s="807"/>
      <c r="C34" s="808"/>
      <c r="D34" s="808"/>
      <c r="E34" s="809"/>
      <c r="F34" s="484" t="e">
        <f>F31/F30</f>
        <v>#DIV/0!</v>
      </c>
      <c r="G34" s="485" t="e">
        <f t="shared" ref="G34:N34" si="7">G31/G30</f>
        <v>#DIV/0!</v>
      </c>
      <c r="H34" s="485" t="e">
        <f t="shared" si="7"/>
        <v>#DIV/0!</v>
      </c>
      <c r="I34" s="485" t="e">
        <f t="shared" si="7"/>
        <v>#DIV/0!</v>
      </c>
      <c r="J34" s="485" t="e">
        <f t="shared" si="7"/>
        <v>#DIV/0!</v>
      </c>
      <c r="K34" s="485" t="e">
        <f t="shared" si="7"/>
        <v>#DIV/0!</v>
      </c>
      <c r="L34" s="485" t="e">
        <f t="shared" si="7"/>
        <v>#DIV/0!</v>
      </c>
      <c r="M34" s="485" t="e">
        <f t="shared" si="7"/>
        <v>#DIV/0!</v>
      </c>
      <c r="N34" s="486" t="e">
        <f t="shared" si="7"/>
        <v>#DIV/0!</v>
      </c>
      <c r="O34" s="208"/>
      <c r="P34" s="208"/>
    </row>
    <row r="35" spans="1:16" ht="14.4" customHeight="1" thickBot="1" x14ac:dyDescent="0.45">
      <c r="B35" s="802" t="s">
        <v>279</v>
      </c>
      <c r="C35" s="803"/>
      <c r="D35" s="803"/>
      <c r="E35" s="804"/>
      <c r="F35" s="805">
        <f>AVERAGE(F4:H27)</f>
        <v>0.70666666666666667</v>
      </c>
      <c r="G35" s="803"/>
      <c r="H35" s="804"/>
      <c r="I35" s="805">
        <f>AVERAGE(I4:J27)</f>
        <v>0.90874999999999995</v>
      </c>
      <c r="J35" s="804"/>
      <c r="K35" s="483"/>
      <c r="L35" s="805">
        <f>AVERAGE(L4:N27)</f>
        <v>0.82350000000000001</v>
      </c>
      <c r="M35" s="803"/>
      <c r="N35" s="804"/>
    </row>
  </sheetData>
  <mergeCells count="22">
    <mergeCell ref="B34:E34"/>
    <mergeCell ref="B35:E35"/>
    <mergeCell ref="F35:H35"/>
    <mergeCell ref="I35:J35"/>
    <mergeCell ref="L35:N35"/>
    <mergeCell ref="A18:A19"/>
    <mergeCell ref="A20:A21"/>
    <mergeCell ref="A8:A9"/>
    <mergeCell ref="A10:A11"/>
    <mergeCell ref="A12:A13"/>
    <mergeCell ref="A14:A15"/>
    <mergeCell ref="A16:A17"/>
    <mergeCell ref="B1:N1"/>
    <mergeCell ref="B2:E2"/>
    <mergeCell ref="F2:N2"/>
    <mergeCell ref="A4:A5"/>
    <mergeCell ref="A6:A7"/>
    <mergeCell ref="A22:A23"/>
    <mergeCell ref="A24:A25"/>
    <mergeCell ref="A26:A27"/>
    <mergeCell ref="A28:E28"/>
    <mergeCell ref="B29:E29"/>
  </mergeCells>
  <conditionalFormatting sqref="F28:F29 H28:H29 J28:J29 L28:L29 N28:N29">
    <cfRule type="containsErrors" dxfId="285" priority="6">
      <formula>ISERROR(F28)</formula>
    </cfRule>
  </conditionalFormatting>
  <conditionalFormatting sqref="F34:N34">
    <cfRule type="containsErrors" dxfId="284" priority="2">
      <formula>ISERROR(F34)</formula>
    </cfRule>
    <cfRule type="cellIs" dxfId="283" priority="4" operator="lessThan">
      <formula>0.8</formula>
    </cfRule>
    <cfRule type="cellIs" dxfId="282" priority="5" operator="greaterThan">
      <formula>0.79</formula>
    </cfRule>
  </conditionalFormatting>
  <conditionalFormatting sqref="F35:N35">
    <cfRule type="containsErrors" dxfId="281" priority="1">
      <formula>ISERROR(F35)</formula>
    </cfRule>
  </conditionalFormatting>
  <conditionalFormatting sqref="G28:G29 I28:I29 K28:K29 M28:M29">
    <cfRule type="containsErrors" dxfId="280" priority="3">
      <formula>ISERROR(G28)</formula>
    </cfRule>
  </conditionalFormatting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4AF53-0095-44D5-A946-F3FA58FC72CC}">
  <dimension ref="A2:Z68"/>
  <sheetViews>
    <sheetView zoomScale="80" zoomScaleNormal="80" workbookViewId="0">
      <selection activeCell="H29" sqref="H29:H30"/>
    </sheetView>
  </sheetViews>
  <sheetFormatPr defaultRowHeight="14.4" x14ac:dyDescent="0.3"/>
  <cols>
    <col min="1" max="1" width="15" bestFit="1" customWidth="1"/>
    <col min="2" max="4" width="14.6640625" customWidth="1"/>
    <col min="5" max="5" width="15" bestFit="1" customWidth="1"/>
    <col min="6" max="8" width="14.6640625" customWidth="1"/>
    <col min="9" max="9" width="3.6640625" customWidth="1"/>
    <col min="10" max="10" width="15" bestFit="1" customWidth="1"/>
    <col min="11" max="13" width="14.6640625" customWidth="1"/>
    <col min="14" max="14" width="15" bestFit="1" customWidth="1"/>
    <col min="15" max="17" width="14.6640625" customWidth="1"/>
    <col min="18" max="18" width="3.6640625" customWidth="1"/>
    <col min="19" max="19" width="15" bestFit="1" customWidth="1"/>
    <col min="20" max="22" width="14.6640625" customWidth="1"/>
    <col min="23" max="23" width="15" bestFit="1" customWidth="1"/>
    <col min="24" max="26" width="14.6640625" customWidth="1"/>
    <col min="27" max="27" width="3.6640625" customWidth="1"/>
  </cols>
  <sheetData>
    <row r="2" spans="1:26" ht="19.2" thickTop="1" thickBot="1" x14ac:dyDescent="0.4">
      <c r="A2" s="414" t="s">
        <v>284</v>
      </c>
      <c r="B2" s="831"/>
      <c r="C2" s="831"/>
      <c r="D2" s="832"/>
      <c r="E2" s="415"/>
      <c r="F2" s="831"/>
      <c r="G2" s="831"/>
      <c r="H2" s="832"/>
      <c r="I2" s="413"/>
      <c r="J2" s="414" t="s">
        <v>285</v>
      </c>
      <c r="K2" s="831"/>
      <c r="L2" s="831"/>
      <c r="M2" s="832"/>
      <c r="N2" s="415"/>
      <c r="O2" s="831"/>
      <c r="P2" s="831"/>
      <c r="Q2" s="832"/>
      <c r="R2" s="413"/>
      <c r="S2" s="414" t="s">
        <v>286</v>
      </c>
      <c r="T2" s="831"/>
      <c r="U2" s="831"/>
      <c r="V2" s="832"/>
      <c r="W2" s="415"/>
      <c r="X2" s="831"/>
      <c r="Y2" s="831"/>
      <c r="Z2" s="832"/>
    </row>
    <row r="3" spans="1:26" ht="15.6" thickTop="1" thickBot="1" x14ac:dyDescent="0.35">
      <c r="A3" s="416"/>
      <c r="B3" s="570"/>
      <c r="C3" s="570"/>
      <c r="D3" s="570"/>
      <c r="E3" s="416"/>
      <c r="F3" s="570"/>
      <c r="G3" s="570"/>
      <c r="H3" s="570"/>
      <c r="I3" s="413"/>
      <c r="J3" s="416"/>
      <c r="K3" s="570"/>
      <c r="L3" s="570"/>
      <c r="M3" s="570"/>
      <c r="N3" s="416"/>
      <c r="O3" s="570"/>
      <c r="P3" s="570"/>
      <c r="Q3" s="570"/>
      <c r="R3" s="413"/>
      <c r="S3" s="416"/>
      <c r="T3" s="570"/>
      <c r="U3" s="570"/>
      <c r="V3" s="570"/>
      <c r="W3" s="416"/>
      <c r="X3" s="570"/>
      <c r="Y3" s="570"/>
      <c r="Z3" s="570"/>
    </row>
    <row r="4" spans="1:26" x14ac:dyDescent="0.3">
      <c r="A4" s="366"/>
      <c r="B4" s="104" t="s">
        <v>330</v>
      </c>
      <c r="C4" s="104" t="s">
        <v>331</v>
      </c>
      <c r="D4" s="89" t="s">
        <v>332</v>
      </c>
      <c r="E4" s="366"/>
      <c r="F4" s="104" t="s">
        <v>330</v>
      </c>
      <c r="G4" s="104" t="s">
        <v>331</v>
      </c>
      <c r="H4" s="89" t="s">
        <v>332</v>
      </c>
      <c r="I4" s="413"/>
      <c r="J4" s="366"/>
      <c r="K4" s="104" t="s">
        <v>330</v>
      </c>
      <c r="L4" s="104" t="s">
        <v>331</v>
      </c>
      <c r="M4" s="89" t="s">
        <v>332</v>
      </c>
      <c r="N4" s="366"/>
      <c r="O4" s="104" t="s">
        <v>330</v>
      </c>
      <c r="P4" s="104" t="s">
        <v>331</v>
      </c>
      <c r="Q4" s="89" t="s">
        <v>332</v>
      </c>
      <c r="R4" s="413"/>
      <c r="S4" s="366"/>
      <c r="T4" s="104" t="s">
        <v>330</v>
      </c>
      <c r="U4" s="104" t="s">
        <v>331</v>
      </c>
      <c r="V4" s="89" t="s">
        <v>332</v>
      </c>
      <c r="W4" s="366"/>
      <c r="X4" s="104" t="s">
        <v>330</v>
      </c>
      <c r="Y4" s="104" t="s">
        <v>331</v>
      </c>
      <c r="Z4" s="89" t="s">
        <v>332</v>
      </c>
    </row>
    <row r="5" spans="1:26" x14ac:dyDescent="0.3">
      <c r="A5" s="417" t="s">
        <v>333</v>
      </c>
      <c r="B5" s="418"/>
      <c r="C5" s="418"/>
      <c r="D5" s="419"/>
      <c r="E5" s="417" t="s">
        <v>333</v>
      </c>
      <c r="F5" s="418"/>
      <c r="G5" s="418"/>
      <c r="H5" s="419"/>
      <c r="I5" s="413"/>
      <c r="J5" s="417" t="s">
        <v>333</v>
      </c>
      <c r="K5" s="418"/>
      <c r="L5" s="418"/>
      <c r="M5" s="419"/>
      <c r="N5" s="417" t="s">
        <v>333</v>
      </c>
      <c r="O5" s="418"/>
      <c r="P5" s="418"/>
      <c r="Q5" s="419"/>
      <c r="R5" s="413"/>
      <c r="S5" s="417" t="s">
        <v>333</v>
      </c>
      <c r="T5" s="418"/>
      <c r="U5" s="418"/>
      <c r="V5" s="419"/>
      <c r="W5" s="417" t="s">
        <v>333</v>
      </c>
      <c r="X5" s="418"/>
      <c r="Y5" s="418"/>
      <c r="Z5" s="419"/>
    </row>
    <row r="6" spans="1:26" x14ac:dyDescent="0.3">
      <c r="A6" s="379" t="s">
        <v>227</v>
      </c>
      <c r="B6" s="420"/>
      <c r="C6" s="420"/>
      <c r="D6" s="421"/>
      <c r="E6" s="379" t="s">
        <v>227</v>
      </c>
      <c r="F6" s="420"/>
      <c r="G6" s="420"/>
      <c r="H6" s="421"/>
      <c r="I6" s="413"/>
      <c r="J6" s="379" t="s">
        <v>227</v>
      </c>
      <c r="K6" s="420"/>
      <c r="L6" s="420"/>
      <c r="M6" s="421"/>
      <c r="N6" s="379" t="s">
        <v>227</v>
      </c>
      <c r="O6" s="420"/>
      <c r="P6" s="420"/>
      <c r="Q6" s="421"/>
      <c r="R6" s="413"/>
      <c r="S6" s="379" t="s">
        <v>227</v>
      </c>
      <c r="T6" s="420"/>
      <c r="U6" s="420"/>
      <c r="V6" s="421"/>
      <c r="W6" s="379" t="s">
        <v>227</v>
      </c>
      <c r="X6" s="420"/>
      <c r="Y6" s="420"/>
      <c r="Z6" s="421"/>
    </row>
    <row r="7" spans="1:26" x14ac:dyDescent="0.3">
      <c r="A7" s="417" t="s">
        <v>334</v>
      </c>
      <c r="B7" s="418"/>
      <c r="C7" s="418"/>
      <c r="D7" s="419"/>
      <c r="E7" s="417" t="s">
        <v>334</v>
      </c>
      <c r="F7" s="418"/>
      <c r="G7" s="418"/>
      <c r="H7" s="419"/>
      <c r="I7" s="413"/>
      <c r="J7" s="417" t="s">
        <v>334</v>
      </c>
      <c r="K7" s="418"/>
      <c r="L7" s="418"/>
      <c r="M7" s="419"/>
      <c r="N7" s="417" t="s">
        <v>334</v>
      </c>
      <c r="O7" s="418"/>
      <c r="P7" s="418"/>
      <c r="Q7" s="419"/>
      <c r="R7" s="413"/>
      <c r="S7" s="417" t="s">
        <v>334</v>
      </c>
      <c r="T7" s="418"/>
      <c r="U7" s="418"/>
      <c r="V7" s="419"/>
      <c r="W7" s="417" t="s">
        <v>334</v>
      </c>
      <c r="X7" s="418"/>
      <c r="Y7" s="418"/>
      <c r="Z7" s="419"/>
    </row>
    <row r="8" spans="1:26" x14ac:dyDescent="0.3">
      <c r="A8" s="379" t="s">
        <v>295</v>
      </c>
      <c r="B8" s="435"/>
      <c r="C8" s="422"/>
      <c r="D8" s="421"/>
      <c r="E8" s="379" t="s">
        <v>295</v>
      </c>
      <c r="F8" s="420"/>
      <c r="G8" s="422"/>
      <c r="H8" s="421"/>
      <c r="I8" s="413"/>
      <c r="J8" s="379" t="s">
        <v>295</v>
      </c>
      <c r="K8" s="435"/>
      <c r="L8" s="422"/>
      <c r="M8" s="421"/>
      <c r="N8" s="379" t="s">
        <v>295</v>
      </c>
      <c r="O8" s="420"/>
      <c r="P8" s="422"/>
      <c r="Q8" s="421"/>
      <c r="R8" s="413"/>
      <c r="S8" s="379" t="s">
        <v>295</v>
      </c>
      <c r="T8" s="435"/>
      <c r="U8" s="422"/>
      <c r="V8" s="421"/>
      <c r="W8" s="379" t="s">
        <v>295</v>
      </c>
      <c r="X8" s="435"/>
      <c r="Y8" s="422"/>
      <c r="Z8" s="421"/>
    </row>
    <row r="9" spans="1:26" x14ac:dyDescent="0.3">
      <c r="A9" s="417" t="s">
        <v>83</v>
      </c>
      <c r="B9" s="436"/>
      <c r="C9" s="424"/>
      <c r="D9" s="425"/>
      <c r="E9" s="417" t="s">
        <v>83</v>
      </c>
      <c r="F9" s="423"/>
      <c r="G9" s="424"/>
      <c r="H9" s="425"/>
      <c r="I9" s="413"/>
      <c r="J9" s="417" t="s">
        <v>83</v>
      </c>
      <c r="K9" s="436"/>
      <c r="L9" s="424"/>
      <c r="M9" s="425"/>
      <c r="N9" s="417" t="s">
        <v>83</v>
      </c>
      <c r="O9" s="423"/>
      <c r="P9" s="424"/>
      <c r="Q9" s="425"/>
      <c r="R9" s="413"/>
      <c r="S9" s="417" t="s">
        <v>83</v>
      </c>
      <c r="T9" s="436"/>
      <c r="U9" s="424"/>
      <c r="V9" s="425"/>
      <c r="W9" s="417" t="s">
        <v>83</v>
      </c>
      <c r="X9" s="436"/>
      <c r="Y9" s="424"/>
      <c r="Z9" s="425"/>
    </row>
    <row r="10" spans="1:26" x14ac:dyDescent="0.3">
      <c r="A10" s="379" t="s">
        <v>244</v>
      </c>
      <c r="B10" s="420"/>
      <c r="C10" s="420"/>
      <c r="D10" s="426"/>
      <c r="E10" s="379" t="s">
        <v>244</v>
      </c>
      <c r="F10" s="420"/>
      <c r="G10" s="420"/>
      <c r="H10" s="426"/>
      <c r="I10" s="413"/>
      <c r="J10" s="379" t="s">
        <v>244</v>
      </c>
      <c r="K10" s="420"/>
      <c r="L10" s="420"/>
      <c r="M10" s="426"/>
      <c r="N10" s="379" t="s">
        <v>244</v>
      </c>
      <c r="O10" s="420"/>
      <c r="P10" s="420"/>
      <c r="Q10" s="426"/>
      <c r="R10" s="413"/>
      <c r="S10" s="379" t="s">
        <v>244</v>
      </c>
      <c r="T10" s="420"/>
      <c r="U10" s="420"/>
      <c r="V10" s="426"/>
      <c r="W10" s="379" t="s">
        <v>244</v>
      </c>
      <c r="X10" s="420"/>
      <c r="Y10" s="420"/>
      <c r="Z10" s="426"/>
    </row>
    <row r="11" spans="1:26" x14ac:dyDescent="0.3">
      <c r="A11" s="417" t="s">
        <v>245</v>
      </c>
      <c r="B11" s="418"/>
      <c r="C11" s="418"/>
      <c r="D11" s="419"/>
      <c r="E11" s="417" t="s">
        <v>245</v>
      </c>
      <c r="F11" s="418"/>
      <c r="G11" s="418"/>
      <c r="H11" s="419"/>
      <c r="I11" s="413"/>
      <c r="J11" s="417" t="s">
        <v>245</v>
      </c>
      <c r="K11" s="418"/>
      <c r="L11" s="418"/>
      <c r="M11" s="419"/>
      <c r="N11" s="417" t="s">
        <v>245</v>
      </c>
      <c r="O11" s="418"/>
      <c r="P11" s="418"/>
      <c r="Q11" s="419"/>
      <c r="R11" s="413"/>
      <c r="S11" s="417" t="s">
        <v>245</v>
      </c>
      <c r="T11" s="418"/>
      <c r="U11" s="418"/>
      <c r="V11" s="419"/>
      <c r="W11" s="417" t="s">
        <v>245</v>
      </c>
      <c r="X11" s="418"/>
      <c r="Y11" s="418"/>
      <c r="Z11" s="419"/>
    </row>
    <row r="12" spans="1:26" x14ac:dyDescent="0.3">
      <c r="A12" s="379" t="s">
        <v>297</v>
      </c>
      <c r="B12" s="605"/>
      <c r="C12" s="606"/>
      <c r="D12" s="380" t="s">
        <v>335</v>
      </c>
      <c r="E12" s="379" t="s">
        <v>297</v>
      </c>
      <c r="F12" s="605"/>
      <c r="G12" s="606"/>
      <c r="H12" s="380" t="s">
        <v>335</v>
      </c>
      <c r="I12" s="413"/>
      <c r="J12" s="379" t="s">
        <v>297</v>
      </c>
      <c r="K12" s="605"/>
      <c r="L12" s="606"/>
      <c r="M12" s="380" t="s">
        <v>335</v>
      </c>
      <c r="N12" s="379" t="s">
        <v>297</v>
      </c>
      <c r="O12" s="605"/>
      <c r="P12" s="606"/>
      <c r="Q12" s="380" t="s">
        <v>335</v>
      </c>
      <c r="R12" s="413"/>
      <c r="S12" s="379" t="s">
        <v>297</v>
      </c>
      <c r="T12" s="605"/>
      <c r="U12" s="606"/>
      <c r="V12" s="380" t="s">
        <v>335</v>
      </c>
      <c r="W12" s="379" t="s">
        <v>297</v>
      </c>
      <c r="X12" s="605"/>
      <c r="Y12" s="606"/>
      <c r="Z12" s="380" t="s">
        <v>335</v>
      </c>
    </row>
    <row r="13" spans="1:26" x14ac:dyDescent="0.3">
      <c r="A13" s="417" t="s">
        <v>229</v>
      </c>
      <c r="B13" s="817"/>
      <c r="C13" s="818"/>
      <c r="D13" s="427" t="s">
        <v>336</v>
      </c>
      <c r="E13" s="417" t="s">
        <v>229</v>
      </c>
      <c r="F13" s="817"/>
      <c r="G13" s="818"/>
      <c r="H13" s="427" t="s">
        <v>336</v>
      </c>
      <c r="I13" s="428"/>
      <c r="J13" s="417" t="s">
        <v>229</v>
      </c>
      <c r="K13" s="817"/>
      <c r="L13" s="818"/>
      <c r="M13" s="427" t="s">
        <v>336</v>
      </c>
      <c r="N13" s="417" t="s">
        <v>229</v>
      </c>
      <c r="O13" s="817"/>
      <c r="P13" s="818"/>
      <c r="Q13" s="427" t="s">
        <v>336</v>
      </c>
      <c r="R13" s="428"/>
      <c r="S13" s="417" t="s">
        <v>229</v>
      </c>
      <c r="T13" s="817"/>
      <c r="U13" s="818"/>
      <c r="V13" s="427" t="s">
        <v>336</v>
      </c>
      <c r="W13" s="417" t="s">
        <v>229</v>
      </c>
      <c r="X13" s="817"/>
      <c r="Y13" s="818"/>
      <c r="Z13" s="427" t="s">
        <v>336</v>
      </c>
    </row>
    <row r="14" spans="1:26" x14ac:dyDescent="0.3">
      <c r="A14" s="379" t="s">
        <v>337</v>
      </c>
      <c r="B14" s="819"/>
      <c r="C14" s="820"/>
      <c r="D14" s="821"/>
      <c r="E14" s="379" t="s">
        <v>337</v>
      </c>
      <c r="F14" s="819"/>
      <c r="G14" s="820"/>
      <c r="H14" s="821"/>
      <c r="I14" s="413"/>
      <c r="J14" s="379" t="s">
        <v>337</v>
      </c>
      <c r="K14" s="819"/>
      <c r="L14" s="820"/>
      <c r="M14" s="821"/>
      <c r="N14" s="379" t="s">
        <v>337</v>
      </c>
      <c r="O14" s="819" t="e">
        <f>(((SUMIF([2]Jan!O192,"&gt;0")+SUMIF([2]Fev!O192,"&gt;0")+SUMIF([2]Mar!O192,"&gt;0")+SUMIF([2]Abr!O192,"&gt;0")+SUMIF([2]Mai!O192,"&gt;0")+SUMIF([2]Jun!O192,"&gt;0")+SUMIF([2]Jul!O192,"&gt;0")+SUMIF([2]Ago!O192,"&gt;0")+SUMIF([2]Set!O192,"&gt;0")+SUMIF([2]Out!O192,"&gt;0")+SUMIF([2]Nov!O192,"&gt;0")+SUMIF([2]Dez!O192,"&gt;0"))/((COUNTIF([2]Jan!O192,"&gt;0")+COUNTIF([2]Fev!O192,"&gt;0")+COUNTIF([2]Mar!O192,"&gt;0")+COUNTIF([2]Abr!O192,"&gt;0")+COUNTIF([2]Mai!O192,"&gt;0")+COUNTIF([2]Jun!O192,"&gt;0")+COUNTIF([2]Jul!O192,"&gt;0")+COUNTIF([2]Ago!O192,"&gt;0")+COUNTIF([2]Set!O192,"&gt;0")+COUNTIF([2]Out!O192,"&gt;0")+COUNTIF([2]Nov!O192,"&gt;0")+COUNTIF([2]Dez!O192,"&gt;0"))))*100)/N18</f>
        <v>#VALUE!</v>
      </c>
      <c r="P14" s="820"/>
      <c r="Q14" s="821"/>
      <c r="R14" s="413"/>
      <c r="S14" s="379" t="s">
        <v>337</v>
      </c>
      <c r="T14" s="819"/>
      <c r="U14" s="820"/>
      <c r="V14" s="821"/>
      <c r="W14" s="379" t="s">
        <v>337</v>
      </c>
      <c r="X14" s="819"/>
      <c r="Y14" s="820"/>
      <c r="Z14" s="821"/>
    </row>
    <row r="15" spans="1:26" ht="15" thickBot="1" x14ac:dyDescent="0.35">
      <c r="A15" s="429" t="s">
        <v>338</v>
      </c>
      <c r="B15" s="822"/>
      <c r="C15" s="823"/>
      <c r="D15" s="824"/>
      <c r="E15" s="429" t="s">
        <v>338</v>
      </c>
      <c r="F15" s="822"/>
      <c r="G15" s="823"/>
      <c r="H15" s="824"/>
      <c r="I15" s="413"/>
      <c r="J15" s="429" t="s">
        <v>338</v>
      </c>
      <c r="K15" s="822"/>
      <c r="L15" s="823"/>
      <c r="M15" s="824"/>
      <c r="N15" s="429" t="s">
        <v>338</v>
      </c>
      <c r="O15" s="822" t="e">
        <f>(((SUMIF([2]Jan!O193,"&gt;0")+SUMIF([2]Fev!O193,"&gt;0")+SUMIF([2]Mar!O193,"&gt;0")+SUMIF([2]Abr!O193,"&gt;0")+SUMIF([2]Mai!O193,"&gt;0")+SUMIF([2]Jun!O193,"&gt;0")+SUMIF([2]Jul!O193,"&gt;0")+SUMIF([2]Ago!O193,"&gt;0")+SUMIF([2]Set!O193,"&gt;0")+SUMIF([2]Out!O193,"&gt;0")+SUMIF([2]Nov!O193,"&gt;0")+SUMIF([2]Dez!O193,"&gt;0"))/(COUNTIF([2]Jan!O193,"&gt;0")+COUNTIF([2]Fev!O193,"&gt;0")+COUNTIF([2]Mar!O193,"&gt;0")+COUNTIF([2]Abr!O193,"&gt;0")+COUNTIF([2]Mai!O193,"&gt;0")+COUNTIF([2]Jun!O193,"&gt;0")+COUNTIF([2]Jul!O193,"&gt;0")+COUNTIF([2]Ago!O193,"&gt;0")+COUNTIF([2]Set!O193,"&gt;0")+COUNTIF([2]Out!O193,"&gt;0")+COUNTIF([2]Nov!O193,"&gt;0")+COUNTIF([2]Dez!O193,"&gt;0"))*100)/N18)</f>
        <v>#VALUE!</v>
      </c>
      <c r="P15" s="823"/>
      <c r="Q15" s="824"/>
      <c r="R15" s="413"/>
      <c r="S15" s="429" t="s">
        <v>338</v>
      </c>
      <c r="T15" s="822"/>
      <c r="U15" s="823"/>
      <c r="V15" s="824"/>
      <c r="W15" s="429" t="s">
        <v>338</v>
      </c>
      <c r="X15" s="822"/>
      <c r="Y15" s="823"/>
      <c r="Z15" s="824"/>
    </row>
    <row r="16" spans="1:26" x14ac:dyDescent="0.3">
      <c r="A16" s="825" t="s">
        <v>299</v>
      </c>
      <c r="B16" s="430" t="s">
        <v>339</v>
      </c>
      <c r="C16" s="430" t="s">
        <v>340</v>
      </c>
      <c r="D16" s="431" t="s">
        <v>123</v>
      </c>
      <c r="E16" s="825" t="s">
        <v>299</v>
      </c>
      <c r="F16" s="430" t="s">
        <v>339</v>
      </c>
      <c r="G16" s="430" t="s">
        <v>340</v>
      </c>
      <c r="H16" s="431" t="s">
        <v>123</v>
      </c>
      <c r="I16" s="413"/>
      <c r="J16" s="825" t="s">
        <v>299</v>
      </c>
      <c r="K16" s="430" t="s">
        <v>339</v>
      </c>
      <c r="L16" s="430" t="s">
        <v>340</v>
      </c>
      <c r="M16" s="431" t="s">
        <v>123</v>
      </c>
      <c r="N16" s="825" t="s">
        <v>299</v>
      </c>
      <c r="O16" s="430" t="s">
        <v>339</v>
      </c>
      <c r="P16" s="430" t="s">
        <v>340</v>
      </c>
      <c r="Q16" s="431" t="s">
        <v>123</v>
      </c>
      <c r="R16" s="413"/>
      <c r="S16" s="825" t="s">
        <v>299</v>
      </c>
      <c r="T16" s="430" t="s">
        <v>339</v>
      </c>
      <c r="U16" s="430" t="s">
        <v>340</v>
      </c>
      <c r="V16" s="431" t="s">
        <v>123</v>
      </c>
      <c r="W16" s="825" t="s">
        <v>299</v>
      </c>
      <c r="X16" s="430" t="s">
        <v>339</v>
      </c>
      <c r="Y16" s="430" t="s">
        <v>340</v>
      </c>
      <c r="Z16" s="431" t="s">
        <v>123</v>
      </c>
    </row>
    <row r="17" spans="1:26" ht="15" thickBot="1" x14ac:dyDescent="0.35">
      <c r="A17" s="826"/>
      <c r="B17" s="432"/>
      <c r="C17" s="433"/>
      <c r="D17" s="434"/>
      <c r="E17" s="826"/>
      <c r="F17" s="432"/>
      <c r="G17" s="433"/>
      <c r="H17" s="434"/>
      <c r="I17" s="413"/>
      <c r="J17" s="826"/>
      <c r="K17" s="432"/>
      <c r="L17" s="433"/>
      <c r="M17" s="434"/>
      <c r="N17" s="826"/>
      <c r="O17" s="432"/>
      <c r="P17" s="433"/>
      <c r="Q17" s="434" t="e">
        <f>P17/O17</f>
        <v>#DIV/0!</v>
      </c>
      <c r="R17" s="413"/>
      <c r="S17" s="826"/>
      <c r="T17" s="432"/>
      <c r="U17" s="433"/>
      <c r="V17" s="434"/>
      <c r="W17" s="826"/>
      <c r="X17" s="432"/>
      <c r="Y17" s="433"/>
      <c r="Z17" s="434"/>
    </row>
    <row r="18" spans="1:26" ht="15.6" thickTop="1" thickBot="1" x14ac:dyDescent="0.35">
      <c r="A18" s="415"/>
      <c r="B18" s="413"/>
      <c r="C18" s="413"/>
      <c r="D18" s="413"/>
      <c r="E18" s="415"/>
      <c r="F18" s="413"/>
      <c r="G18" s="413"/>
      <c r="H18" s="413"/>
      <c r="I18" s="413"/>
      <c r="J18" s="415"/>
      <c r="K18" s="413"/>
      <c r="L18" s="413"/>
      <c r="M18" s="413"/>
      <c r="N18" s="415"/>
      <c r="O18" s="413"/>
      <c r="P18" s="413"/>
      <c r="Q18" s="413"/>
      <c r="R18" s="413"/>
      <c r="S18" s="415"/>
      <c r="T18" s="413"/>
      <c r="U18" s="413"/>
      <c r="V18" s="413"/>
      <c r="W18" s="415"/>
      <c r="X18" s="413"/>
      <c r="Y18" s="413"/>
      <c r="Z18" s="413"/>
    </row>
    <row r="19" spans="1:26" ht="19.2" thickTop="1" thickBot="1" x14ac:dyDescent="0.4">
      <c r="A19" s="414" t="s">
        <v>287</v>
      </c>
      <c r="B19" s="831" t="s">
        <v>341</v>
      </c>
      <c r="C19" s="831"/>
      <c r="D19" s="832"/>
      <c r="E19" s="833"/>
      <c r="F19" s="831"/>
      <c r="G19" s="831"/>
      <c r="H19" s="832"/>
      <c r="I19" s="413"/>
      <c r="J19" s="414" t="s">
        <v>282</v>
      </c>
      <c r="K19" s="831"/>
      <c r="L19" s="831"/>
      <c r="M19" s="832"/>
      <c r="N19" s="415"/>
      <c r="O19" s="831"/>
      <c r="P19" s="831"/>
      <c r="Q19" s="832"/>
      <c r="R19" s="413"/>
      <c r="S19" s="414" t="s">
        <v>290</v>
      </c>
      <c r="T19" s="831"/>
      <c r="U19" s="831"/>
      <c r="V19" s="832"/>
      <c r="W19" s="415"/>
      <c r="X19" s="831"/>
      <c r="Y19" s="831"/>
      <c r="Z19" s="832"/>
    </row>
    <row r="20" spans="1:26" ht="15.6" thickTop="1" thickBot="1" x14ac:dyDescent="0.35">
      <c r="A20" s="416"/>
      <c r="B20" s="372"/>
      <c r="C20" s="372"/>
      <c r="D20" s="372"/>
      <c r="E20" s="416"/>
      <c r="F20" s="372"/>
      <c r="G20" s="372"/>
      <c r="H20" s="372"/>
      <c r="I20" s="413"/>
      <c r="J20" s="416"/>
      <c r="K20" s="570"/>
      <c r="L20" s="570"/>
      <c r="M20" s="570"/>
      <c r="N20" s="416"/>
      <c r="O20" s="570"/>
      <c r="P20" s="570"/>
      <c r="Q20" s="570"/>
      <c r="R20" s="413"/>
      <c r="S20" s="416"/>
      <c r="T20" s="570"/>
      <c r="U20" s="570"/>
      <c r="V20" s="570"/>
      <c r="W20" s="416"/>
      <c r="X20" s="570"/>
      <c r="Y20" s="570"/>
      <c r="Z20" s="570"/>
    </row>
    <row r="21" spans="1:26" x14ac:dyDescent="0.3">
      <c r="A21" s="366"/>
      <c r="B21" s="104" t="s">
        <v>330</v>
      </c>
      <c r="C21" s="104" t="s">
        <v>331</v>
      </c>
      <c r="D21" s="89" t="s">
        <v>332</v>
      </c>
      <c r="E21" s="366"/>
      <c r="F21" s="104" t="s">
        <v>330</v>
      </c>
      <c r="G21" s="104" t="s">
        <v>331</v>
      </c>
      <c r="H21" s="89" t="s">
        <v>332</v>
      </c>
      <c r="I21" s="413"/>
      <c r="J21" s="366"/>
      <c r="K21" s="104" t="s">
        <v>330</v>
      </c>
      <c r="L21" s="104" t="s">
        <v>331</v>
      </c>
      <c r="M21" s="89" t="s">
        <v>332</v>
      </c>
      <c r="N21" s="366"/>
      <c r="O21" s="104" t="s">
        <v>330</v>
      </c>
      <c r="P21" s="104" t="s">
        <v>331</v>
      </c>
      <c r="Q21" s="89" t="s">
        <v>332</v>
      </c>
      <c r="R21" s="413"/>
      <c r="S21" s="366"/>
      <c r="T21" s="104" t="s">
        <v>330</v>
      </c>
      <c r="U21" s="104" t="s">
        <v>331</v>
      </c>
      <c r="V21" s="89" t="s">
        <v>332</v>
      </c>
      <c r="W21" s="366"/>
      <c r="X21" s="104" t="s">
        <v>330</v>
      </c>
      <c r="Y21" s="104" t="s">
        <v>331</v>
      </c>
      <c r="Z21" s="89" t="s">
        <v>332</v>
      </c>
    </row>
    <row r="22" spans="1:26" x14ac:dyDescent="0.3">
      <c r="A22" s="417" t="s">
        <v>333</v>
      </c>
      <c r="B22" s="418"/>
      <c r="C22" s="418"/>
      <c r="D22" s="419"/>
      <c r="E22" s="417" t="s">
        <v>333</v>
      </c>
      <c r="F22" s="418"/>
      <c r="G22" s="418"/>
      <c r="H22" s="419"/>
      <c r="I22" s="413"/>
      <c r="J22" s="417" t="s">
        <v>333</v>
      </c>
      <c r="K22" s="418"/>
      <c r="L22" s="418"/>
      <c r="M22" s="419"/>
      <c r="N22" s="417" t="s">
        <v>333</v>
      </c>
      <c r="O22" s="418"/>
      <c r="P22" s="418"/>
      <c r="Q22" s="419"/>
      <c r="R22" s="413"/>
      <c r="S22" s="417" t="s">
        <v>333</v>
      </c>
      <c r="T22" s="418"/>
      <c r="U22" s="418"/>
      <c r="V22" s="419"/>
      <c r="W22" s="417" t="s">
        <v>333</v>
      </c>
      <c r="X22" s="418"/>
      <c r="Y22" s="418"/>
      <c r="Z22" s="419"/>
    </row>
    <row r="23" spans="1:26" x14ac:dyDescent="0.3">
      <c r="A23" s="379" t="s">
        <v>227</v>
      </c>
      <c r="B23" s="420"/>
      <c r="C23" s="420"/>
      <c r="D23" s="421"/>
      <c r="E23" s="379" t="s">
        <v>227</v>
      </c>
      <c r="F23" s="420"/>
      <c r="G23" s="420"/>
      <c r="H23" s="421"/>
      <c r="I23" s="413"/>
      <c r="J23" s="379" t="s">
        <v>227</v>
      </c>
      <c r="K23" s="420"/>
      <c r="L23" s="420"/>
      <c r="M23" s="421"/>
      <c r="N23" s="379" t="s">
        <v>227</v>
      </c>
      <c r="O23" s="420"/>
      <c r="P23" s="420"/>
      <c r="Q23" s="421"/>
      <c r="R23" s="413"/>
      <c r="S23" s="379" t="s">
        <v>227</v>
      </c>
      <c r="T23" s="420"/>
      <c r="U23" s="420"/>
      <c r="V23" s="421"/>
      <c r="W23" s="379" t="s">
        <v>227</v>
      </c>
      <c r="X23" s="420"/>
      <c r="Y23" s="420"/>
      <c r="Z23" s="421"/>
    </row>
    <row r="24" spans="1:26" x14ac:dyDescent="0.3">
      <c r="A24" s="417" t="s">
        <v>334</v>
      </c>
      <c r="B24" s="418"/>
      <c r="C24" s="418"/>
      <c r="D24" s="419"/>
      <c r="E24" s="417" t="s">
        <v>334</v>
      </c>
      <c r="F24" s="418"/>
      <c r="G24" s="418"/>
      <c r="H24" s="419"/>
      <c r="I24" s="413"/>
      <c r="J24" s="417" t="s">
        <v>334</v>
      </c>
      <c r="K24" s="418"/>
      <c r="L24" s="418"/>
      <c r="M24" s="419"/>
      <c r="N24" s="417" t="s">
        <v>334</v>
      </c>
      <c r="O24" s="418"/>
      <c r="P24" s="418"/>
      <c r="Q24" s="419"/>
      <c r="R24" s="413"/>
      <c r="S24" s="417" t="s">
        <v>334</v>
      </c>
      <c r="T24" s="418"/>
      <c r="U24" s="418"/>
      <c r="V24" s="419"/>
      <c r="W24" s="417" t="s">
        <v>334</v>
      </c>
      <c r="X24" s="418"/>
      <c r="Y24" s="418"/>
      <c r="Z24" s="419"/>
    </row>
    <row r="25" spans="1:26" x14ac:dyDescent="0.3">
      <c r="A25" s="379" t="s">
        <v>295</v>
      </c>
      <c r="B25" s="435"/>
      <c r="C25" s="422"/>
      <c r="D25" s="421"/>
      <c r="E25" s="379" t="s">
        <v>295</v>
      </c>
      <c r="F25" s="437"/>
      <c r="G25" s="422"/>
      <c r="H25" s="421"/>
      <c r="I25" s="413"/>
      <c r="J25" s="379" t="s">
        <v>295</v>
      </c>
      <c r="K25" s="435"/>
      <c r="L25" s="422"/>
      <c r="M25" s="421"/>
      <c r="N25" s="379" t="s">
        <v>295</v>
      </c>
      <c r="O25" s="435"/>
      <c r="P25" s="422"/>
      <c r="Q25" s="421"/>
      <c r="R25" s="413"/>
      <c r="S25" s="379" t="s">
        <v>295</v>
      </c>
      <c r="T25" s="435"/>
      <c r="U25" s="422"/>
      <c r="V25" s="421"/>
      <c r="W25" s="379" t="s">
        <v>295</v>
      </c>
      <c r="X25" s="435"/>
      <c r="Y25" s="422"/>
      <c r="Z25" s="421"/>
    </row>
    <row r="26" spans="1:26" x14ac:dyDescent="0.3">
      <c r="A26" s="417" t="s">
        <v>83</v>
      </c>
      <c r="B26" s="436"/>
      <c r="C26" s="424"/>
      <c r="D26" s="425"/>
      <c r="E26" s="417" t="s">
        <v>83</v>
      </c>
      <c r="F26" s="423"/>
      <c r="G26" s="424"/>
      <c r="H26" s="425"/>
      <c r="I26" s="413"/>
      <c r="J26" s="417" t="s">
        <v>83</v>
      </c>
      <c r="K26" s="436"/>
      <c r="L26" s="424"/>
      <c r="M26" s="425"/>
      <c r="N26" s="417" t="s">
        <v>83</v>
      </c>
      <c r="O26" s="436"/>
      <c r="P26" s="424"/>
      <c r="Q26" s="425"/>
      <c r="R26" s="413"/>
      <c r="S26" s="417" t="s">
        <v>83</v>
      </c>
      <c r="T26" s="436"/>
      <c r="U26" s="424"/>
      <c r="V26" s="425"/>
      <c r="W26" s="417" t="s">
        <v>83</v>
      </c>
      <c r="X26" s="436"/>
      <c r="Y26" s="424"/>
      <c r="Z26" s="425"/>
    </row>
    <row r="27" spans="1:26" x14ac:dyDescent="0.3">
      <c r="A27" s="379" t="s">
        <v>244</v>
      </c>
      <c r="B27" s="420"/>
      <c r="C27" s="420"/>
      <c r="D27" s="426"/>
      <c r="E27" s="379" t="s">
        <v>244</v>
      </c>
      <c r="F27" s="420"/>
      <c r="G27" s="420"/>
      <c r="H27" s="426"/>
      <c r="I27" s="413"/>
      <c r="J27" s="379" t="s">
        <v>244</v>
      </c>
      <c r="K27" s="420"/>
      <c r="L27" s="420"/>
      <c r="M27" s="426"/>
      <c r="N27" s="379" t="s">
        <v>244</v>
      </c>
      <c r="O27" s="420"/>
      <c r="P27" s="420"/>
      <c r="Q27" s="426"/>
      <c r="R27" s="413"/>
      <c r="S27" s="379" t="s">
        <v>244</v>
      </c>
      <c r="T27" s="420"/>
      <c r="U27" s="420"/>
      <c r="V27" s="426"/>
      <c r="W27" s="379" t="s">
        <v>244</v>
      </c>
      <c r="X27" s="420"/>
      <c r="Y27" s="420"/>
      <c r="Z27" s="426"/>
    </row>
    <row r="28" spans="1:26" x14ac:dyDescent="0.3">
      <c r="A28" s="417" t="s">
        <v>245</v>
      </c>
      <c r="B28" s="418"/>
      <c r="C28" s="418"/>
      <c r="D28" s="419"/>
      <c r="E28" s="417" t="s">
        <v>245</v>
      </c>
      <c r="F28" s="418"/>
      <c r="G28" s="418"/>
      <c r="H28" s="419"/>
      <c r="I28" s="413"/>
      <c r="J28" s="417" t="s">
        <v>245</v>
      </c>
      <c r="K28" s="418"/>
      <c r="L28" s="418"/>
      <c r="M28" s="419"/>
      <c r="N28" s="417" t="s">
        <v>245</v>
      </c>
      <c r="O28" s="418"/>
      <c r="P28" s="418"/>
      <c r="Q28" s="419"/>
      <c r="R28" s="413"/>
      <c r="S28" s="417" t="s">
        <v>245</v>
      </c>
      <c r="T28" s="418"/>
      <c r="U28" s="418"/>
      <c r="V28" s="419"/>
      <c r="W28" s="417" t="s">
        <v>245</v>
      </c>
      <c r="X28" s="418"/>
      <c r="Y28" s="418"/>
      <c r="Z28" s="419"/>
    </row>
    <row r="29" spans="1:26" x14ac:dyDescent="0.3">
      <c r="A29" s="379" t="s">
        <v>297</v>
      </c>
      <c r="B29" s="605"/>
      <c r="C29" s="606"/>
      <c r="D29" s="380" t="s">
        <v>335</v>
      </c>
      <c r="E29" s="379" t="s">
        <v>297</v>
      </c>
      <c r="F29" s="605"/>
      <c r="G29" s="606"/>
      <c r="H29" s="380" t="s">
        <v>335</v>
      </c>
      <c r="I29" s="413"/>
      <c r="J29" s="379" t="s">
        <v>297</v>
      </c>
      <c r="K29" s="605"/>
      <c r="L29" s="606"/>
      <c r="M29" s="380" t="s">
        <v>335</v>
      </c>
      <c r="N29" s="379" t="s">
        <v>297</v>
      </c>
      <c r="O29" s="605"/>
      <c r="P29" s="606"/>
      <c r="Q29" s="380" t="s">
        <v>335</v>
      </c>
      <c r="R29" s="413"/>
      <c r="S29" s="379" t="s">
        <v>297</v>
      </c>
      <c r="T29" s="605"/>
      <c r="U29" s="606"/>
      <c r="V29" s="380" t="s">
        <v>335</v>
      </c>
      <c r="W29" s="379" t="s">
        <v>297</v>
      </c>
      <c r="X29" s="605"/>
      <c r="Y29" s="606"/>
      <c r="Z29" s="380" t="s">
        <v>335</v>
      </c>
    </row>
    <row r="30" spans="1:26" x14ac:dyDescent="0.3">
      <c r="A30" s="417" t="s">
        <v>229</v>
      </c>
      <c r="B30" s="817"/>
      <c r="C30" s="818"/>
      <c r="D30" s="427" t="s">
        <v>336</v>
      </c>
      <c r="E30" s="417" t="s">
        <v>229</v>
      </c>
      <c r="F30" s="817"/>
      <c r="G30" s="818"/>
      <c r="H30" s="427" t="s">
        <v>336</v>
      </c>
      <c r="I30" s="428"/>
      <c r="J30" s="417" t="s">
        <v>229</v>
      </c>
      <c r="K30" s="817"/>
      <c r="L30" s="818"/>
      <c r="M30" s="427" t="s">
        <v>336</v>
      </c>
      <c r="N30" s="417" t="s">
        <v>229</v>
      </c>
      <c r="O30" s="817"/>
      <c r="P30" s="818"/>
      <c r="Q30" s="427" t="s">
        <v>336</v>
      </c>
      <c r="R30" s="428"/>
      <c r="S30" s="417" t="s">
        <v>229</v>
      </c>
      <c r="T30" s="817"/>
      <c r="U30" s="818"/>
      <c r="V30" s="427" t="s">
        <v>336</v>
      </c>
      <c r="W30" s="417" t="s">
        <v>229</v>
      </c>
      <c r="X30" s="817"/>
      <c r="Y30" s="818"/>
      <c r="Z30" s="427" t="s">
        <v>336</v>
      </c>
    </row>
    <row r="31" spans="1:26" x14ac:dyDescent="0.3">
      <c r="A31" s="379" t="s">
        <v>337</v>
      </c>
      <c r="B31" s="819"/>
      <c r="C31" s="820"/>
      <c r="D31" s="821"/>
      <c r="E31" s="379" t="s">
        <v>337</v>
      </c>
      <c r="F31" s="819" t="e">
        <f>(((SUMIF([2]Jan!F209,"&gt;0")+SUMIF([2]Fev!F209,"&gt;0")+SUMIF([2]Mar!F209,"&gt;0")+SUMIF([2]Abr!F209,"&gt;0")+SUMIF([2]Mai!F209,"&gt;0")+SUMIF([2]Jun!F209,"&gt;0")+SUMIF([2]Jul!F209,"&gt;0")+SUMIF([2]Ago!F209,"&gt;0")+SUMIF([2]Set!F209,"&gt;0")+SUMIF([2]Out!F209,"&gt;0")+SUMIF([2]Nov!F209,"&gt;0")+SUMIF([2]Dez!F209,"&gt;0"))/((COUNTIF([2]Jan!F209,"&gt;0")+COUNTIF([2]Fev!F209,"&gt;0")+COUNTIF([2]Mar!F209,"&gt;0")+COUNTIF([2]Abr!F209,"&gt;0")+COUNTIF([2]Mai!F209,"&gt;0")+COUNTIF([2]Jun!F209,"&gt;0")+COUNTIF([2]Jul!F209,"&gt;0")+COUNTIF([2]Ago!F209,"&gt;0")+COUNTIF([2]Set!F209,"&gt;0")+COUNTIF([2]Out!F209,"&gt;0")+COUNTIF([2]Nov!F209,"&gt;0")+COUNTIF([2]Dez!F209,"&gt;0"))))*100)/E35</f>
        <v>#VALUE!</v>
      </c>
      <c r="G31" s="820"/>
      <c r="H31" s="821"/>
      <c r="I31" s="413"/>
      <c r="J31" s="379" t="s">
        <v>337</v>
      </c>
      <c r="K31" s="819"/>
      <c r="L31" s="820"/>
      <c r="M31" s="821"/>
      <c r="N31" s="379" t="s">
        <v>337</v>
      </c>
      <c r="O31" s="819"/>
      <c r="P31" s="820"/>
      <c r="Q31" s="821"/>
      <c r="R31" s="413"/>
      <c r="S31" s="379" t="s">
        <v>337</v>
      </c>
      <c r="T31" s="819"/>
      <c r="U31" s="820"/>
      <c r="V31" s="821"/>
      <c r="W31" s="379" t="s">
        <v>337</v>
      </c>
      <c r="X31" s="819"/>
      <c r="Y31" s="820"/>
      <c r="Z31" s="821"/>
    </row>
    <row r="32" spans="1:26" ht="15" thickBot="1" x14ac:dyDescent="0.35">
      <c r="A32" s="429" t="s">
        <v>338</v>
      </c>
      <c r="B32" s="822"/>
      <c r="C32" s="823"/>
      <c r="D32" s="824"/>
      <c r="E32" s="429" t="s">
        <v>338</v>
      </c>
      <c r="F32" s="822" t="e">
        <f>(((SUMIF([2]Jan!F210,"&gt;0")+SUMIF([2]Fev!F210,"&gt;0")+SUMIF([2]Mar!F210,"&gt;0")+SUMIF([2]Abr!F210,"&gt;0")+SUMIF([2]Mai!F210,"&gt;0")+SUMIF([2]Jun!F210,"&gt;0")+SUMIF([2]Jul!F210,"&gt;0")+SUMIF([2]Ago!F210,"&gt;0")+SUMIF([2]Set!F210,"&gt;0")+SUMIF([2]Out!F210,"&gt;0")+SUMIF([2]Nov!F210,"&gt;0")+SUMIF([2]Dez!F210,"&gt;0"))/(COUNTIF([2]Jan!F210,"&gt;0")+COUNTIF([2]Fev!F210,"&gt;0")+COUNTIF([2]Mar!F210,"&gt;0")+COUNTIF([2]Abr!F210,"&gt;0")+COUNTIF([2]Mai!F210,"&gt;0")+COUNTIF([2]Jun!F210,"&gt;0")+COUNTIF([2]Jul!F210,"&gt;0")+COUNTIF([2]Ago!F210,"&gt;0")+COUNTIF([2]Set!F210,"&gt;0")+COUNTIF([2]Out!F210,"&gt;0")+COUNTIF([2]Nov!F210,"&gt;0")+COUNTIF([2]Dez!F210,"&gt;0"))*100)/E35)</f>
        <v>#VALUE!</v>
      </c>
      <c r="G32" s="823"/>
      <c r="H32" s="824"/>
      <c r="I32" s="413"/>
      <c r="J32" s="429" t="s">
        <v>338</v>
      </c>
      <c r="K32" s="822"/>
      <c r="L32" s="823"/>
      <c r="M32" s="824"/>
      <c r="N32" s="429" t="s">
        <v>338</v>
      </c>
      <c r="O32" s="822"/>
      <c r="P32" s="823"/>
      <c r="Q32" s="824"/>
      <c r="R32" s="413"/>
      <c r="S32" s="429" t="s">
        <v>338</v>
      </c>
      <c r="T32" s="822"/>
      <c r="U32" s="823"/>
      <c r="V32" s="824"/>
      <c r="W32" s="429" t="s">
        <v>338</v>
      </c>
      <c r="X32" s="822"/>
      <c r="Y32" s="823"/>
      <c r="Z32" s="824"/>
    </row>
    <row r="33" spans="1:26" x14ac:dyDescent="0.3">
      <c r="A33" s="825" t="s">
        <v>299</v>
      </c>
      <c r="B33" s="430" t="s">
        <v>339</v>
      </c>
      <c r="C33" s="430" t="s">
        <v>340</v>
      </c>
      <c r="D33" s="431" t="s">
        <v>123</v>
      </c>
      <c r="E33" s="825" t="s">
        <v>299</v>
      </c>
      <c r="F33" s="430" t="s">
        <v>339</v>
      </c>
      <c r="G33" s="430" t="s">
        <v>340</v>
      </c>
      <c r="H33" s="431" t="s">
        <v>123</v>
      </c>
      <c r="I33" s="413"/>
      <c r="J33" s="825" t="s">
        <v>299</v>
      </c>
      <c r="K33" s="430" t="s">
        <v>339</v>
      </c>
      <c r="L33" s="430" t="s">
        <v>340</v>
      </c>
      <c r="M33" s="431" t="s">
        <v>123</v>
      </c>
      <c r="N33" s="825" t="s">
        <v>299</v>
      </c>
      <c r="O33" s="430" t="s">
        <v>339</v>
      </c>
      <c r="P33" s="430" t="s">
        <v>340</v>
      </c>
      <c r="Q33" s="431" t="s">
        <v>123</v>
      </c>
      <c r="R33" s="413"/>
      <c r="S33" s="825" t="s">
        <v>299</v>
      </c>
      <c r="T33" s="430" t="s">
        <v>339</v>
      </c>
      <c r="U33" s="430" t="s">
        <v>340</v>
      </c>
      <c r="V33" s="431" t="s">
        <v>123</v>
      </c>
      <c r="W33" s="825" t="s">
        <v>299</v>
      </c>
      <c r="X33" s="430" t="s">
        <v>339</v>
      </c>
      <c r="Y33" s="430" t="s">
        <v>340</v>
      </c>
      <c r="Z33" s="431" t="s">
        <v>123</v>
      </c>
    </row>
    <row r="34" spans="1:26" ht="15" thickBot="1" x14ac:dyDescent="0.35">
      <c r="A34" s="826"/>
      <c r="B34" s="432"/>
      <c r="C34" s="433"/>
      <c r="D34" s="434"/>
      <c r="E34" s="826"/>
      <c r="F34" s="432"/>
      <c r="G34" s="433"/>
      <c r="H34" s="434"/>
      <c r="I34" s="413"/>
      <c r="J34" s="826"/>
      <c r="K34" s="432"/>
      <c r="L34" s="433"/>
      <c r="M34" s="434"/>
      <c r="N34" s="826"/>
      <c r="O34" s="432"/>
      <c r="P34" s="433"/>
      <c r="Q34" s="434"/>
      <c r="R34" s="413"/>
      <c r="S34" s="826"/>
      <c r="T34" s="432"/>
      <c r="U34" s="433"/>
      <c r="V34" s="434"/>
      <c r="W34" s="826"/>
      <c r="X34" s="432"/>
      <c r="Y34" s="433"/>
      <c r="Z34" s="434"/>
    </row>
    <row r="35" spans="1:26" ht="15.6" thickTop="1" thickBot="1" x14ac:dyDescent="0.35">
      <c r="A35" s="415"/>
      <c r="B35" s="413"/>
      <c r="C35" s="413"/>
      <c r="D35" s="413"/>
      <c r="E35" s="415"/>
      <c r="F35" s="413"/>
      <c r="G35" s="413"/>
      <c r="H35" s="413"/>
      <c r="I35" s="413"/>
      <c r="J35" s="415"/>
      <c r="K35" s="413"/>
      <c r="L35" s="413"/>
      <c r="M35" s="413"/>
      <c r="N35" s="415"/>
      <c r="O35" s="413"/>
      <c r="P35" s="413"/>
      <c r="Q35" s="413"/>
      <c r="R35" s="413"/>
      <c r="S35" s="415"/>
      <c r="T35" s="413"/>
      <c r="U35" s="413"/>
      <c r="V35" s="413"/>
      <c r="W35" s="415"/>
      <c r="X35" s="413"/>
      <c r="Y35" s="413"/>
      <c r="Z35" s="413"/>
    </row>
    <row r="36" spans="1:26" ht="19.2" thickTop="1" thickBot="1" x14ac:dyDescent="0.4">
      <c r="A36" s="414" t="s">
        <v>288</v>
      </c>
      <c r="B36" s="831"/>
      <c r="C36" s="831"/>
      <c r="D36" s="832"/>
      <c r="E36" s="415"/>
      <c r="F36" s="831"/>
      <c r="G36" s="831"/>
      <c r="H36" s="832"/>
      <c r="I36" s="413"/>
      <c r="J36" s="414" t="s">
        <v>261</v>
      </c>
      <c r="K36" s="831"/>
      <c r="L36" s="831"/>
      <c r="M36" s="832"/>
      <c r="N36" s="415"/>
      <c r="O36" s="831"/>
      <c r="P36" s="831"/>
      <c r="Q36" s="832"/>
      <c r="R36" s="413"/>
      <c r="S36" s="414" t="s">
        <v>278</v>
      </c>
      <c r="T36" s="831"/>
      <c r="U36" s="831"/>
      <c r="V36" s="832"/>
      <c r="W36" s="415"/>
      <c r="X36" s="831"/>
      <c r="Y36" s="831"/>
      <c r="Z36" s="832"/>
    </row>
    <row r="37" spans="1:26" ht="15.6" thickTop="1" thickBot="1" x14ac:dyDescent="0.35">
      <c r="A37" s="416"/>
      <c r="B37" s="570"/>
      <c r="C37" s="570"/>
      <c r="D37" s="570"/>
      <c r="E37" s="416"/>
      <c r="F37" s="570"/>
      <c r="G37" s="570"/>
      <c r="H37" s="570"/>
      <c r="I37" s="413"/>
      <c r="J37" s="416"/>
      <c r="K37" s="570"/>
      <c r="L37" s="570"/>
      <c r="M37" s="570"/>
      <c r="N37" s="416"/>
      <c r="O37" s="570"/>
      <c r="P37" s="570"/>
      <c r="Q37" s="570"/>
      <c r="R37" s="413"/>
      <c r="S37" s="416"/>
      <c r="T37" s="570"/>
      <c r="U37" s="570"/>
      <c r="V37" s="570"/>
      <c r="W37" s="416"/>
      <c r="X37" s="570"/>
      <c r="Y37" s="570"/>
      <c r="Z37" s="570"/>
    </row>
    <row r="38" spans="1:26" x14ac:dyDescent="0.3">
      <c r="A38" s="366"/>
      <c r="B38" s="104" t="s">
        <v>330</v>
      </c>
      <c r="C38" s="104" t="s">
        <v>331</v>
      </c>
      <c r="D38" s="89" t="s">
        <v>332</v>
      </c>
      <c r="E38" s="366"/>
      <c r="F38" s="104" t="s">
        <v>330</v>
      </c>
      <c r="G38" s="104" t="s">
        <v>331</v>
      </c>
      <c r="H38" s="89" t="s">
        <v>332</v>
      </c>
      <c r="I38" s="413"/>
      <c r="J38" s="366"/>
      <c r="K38" s="104" t="s">
        <v>330</v>
      </c>
      <c r="L38" s="104" t="s">
        <v>331</v>
      </c>
      <c r="M38" s="89" t="s">
        <v>332</v>
      </c>
      <c r="N38" s="366"/>
      <c r="O38" s="104" t="s">
        <v>330</v>
      </c>
      <c r="P38" s="104" t="s">
        <v>331</v>
      </c>
      <c r="Q38" s="89" t="s">
        <v>332</v>
      </c>
      <c r="R38" s="413"/>
      <c r="S38" s="366"/>
      <c r="T38" s="104"/>
      <c r="U38" s="104"/>
      <c r="V38" s="89"/>
      <c r="W38" s="366"/>
      <c r="X38" s="104"/>
      <c r="Y38" s="104"/>
      <c r="Z38" s="89"/>
    </row>
    <row r="39" spans="1:26" x14ac:dyDescent="0.3">
      <c r="A39" s="417" t="s">
        <v>333</v>
      </c>
      <c r="B39" s="418"/>
      <c r="C39" s="418"/>
      <c r="D39" s="419"/>
      <c r="E39" s="417" t="s">
        <v>333</v>
      </c>
      <c r="F39" s="418"/>
      <c r="G39" s="418"/>
      <c r="H39" s="419"/>
      <c r="I39" s="413"/>
      <c r="J39" s="417" t="s">
        <v>333</v>
      </c>
      <c r="K39" s="418"/>
      <c r="L39" s="418"/>
      <c r="M39" s="419"/>
      <c r="N39" s="417" t="s">
        <v>333</v>
      </c>
      <c r="O39" s="418"/>
      <c r="P39" s="418"/>
      <c r="Q39" s="419">
        <f>O39-P39</f>
        <v>0</v>
      </c>
      <c r="R39" s="413"/>
      <c r="S39" s="417" t="s">
        <v>333</v>
      </c>
      <c r="T39" s="418"/>
      <c r="U39" s="418"/>
      <c r="V39" s="419"/>
      <c r="W39" s="417" t="s">
        <v>333</v>
      </c>
      <c r="X39" s="418"/>
      <c r="Y39" s="418"/>
      <c r="Z39" s="419"/>
    </row>
    <row r="40" spans="1:26" x14ac:dyDescent="0.3">
      <c r="A40" s="379" t="s">
        <v>227</v>
      </c>
      <c r="B40" s="420"/>
      <c r="C40" s="420"/>
      <c r="D40" s="421"/>
      <c r="E40" s="379" t="s">
        <v>227</v>
      </c>
      <c r="F40" s="420"/>
      <c r="G40" s="420"/>
      <c r="H40" s="421"/>
      <c r="I40" s="413"/>
      <c r="J40" s="379" t="s">
        <v>227</v>
      </c>
      <c r="K40" s="420"/>
      <c r="L40" s="420"/>
      <c r="M40" s="421"/>
      <c r="N40" s="379" t="s">
        <v>227</v>
      </c>
      <c r="O40" s="420"/>
      <c r="P40" s="420"/>
      <c r="Q40" s="421">
        <f t="shared" ref="Q40:Q45" si="0">O40-P40</f>
        <v>0</v>
      </c>
      <c r="R40" s="413"/>
      <c r="S40" s="379" t="s">
        <v>227</v>
      </c>
      <c r="T40" s="420"/>
      <c r="U40" s="420"/>
      <c r="V40" s="421"/>
      <c r="W40" s="379" t="s">
        <v>227</v>
      </c>
      <c r="X40" s="420"/>
      <c r="Y40" s="420"/>
      <c r="Z40" s="421"/>
    </row>
    <row r="41" spans="1:26" x14ac:dyDescent="0.3">
      <c r="A41" s="417" t="s">
        <v>334</v>
      </c>
      <c r="B41" s="418"/>
      <c r="C41" s="418"/>
      <c r="D41" s="419"/>
      <c r="E41" s="417" t="s">
        <v>334</v>
      </c>
      <c r="F41" s="418"/>
      <c r="G41" s="418"/>
      <c r="H41" s="419"/>
      <c r="I41" s="413"/>
      <c r="J41" s="417" t="s">
        <v>334</v>
      </c>
      <c r="K41" s="418"/>
      <c r="L41" s="418"/>
      <c r="M41" s="419"/>
      <c r="N41" s="417" t="s">
        <v>334</v>
      </c>
      <c r="O41" s="418"/>
      <c r="P41" s="418"/>
      <c r="Q41" s="419">
        <f t="shared" si="0"/>
        <v>0</v>
      </c>
      <c r="R41" s="413"/>
      <c r="S41" s="417" t="s">
        <v>334</v>
      </c>
      <c r="T41" s="418"/>
      <c r="U41" s="418"/>
      <c r="V41" s="419"/>
      <c r="W41" s="417" t="s">
        <v>334</v>
      </c>
      <c r="X41" s="418"/>
      <c r="Y41" s="418"/>
      <c r="Z41" s="419"/>
    </row>
    <row r="42" spans="1:26" x14ac:dyDescent="0.3">
      <c r="A42" s="379" t="s">
        <v>295</v>
      </c>
      <c r="B42" s="435"/>
      <c r="C42" s="422"/>
      <c r="D42" s="421"/>
      <c r="E42" s="379" t="s">
        <v>295</v>
      </c>
      <c r="F42" s="435"/>
      <c r="G42" s="422"/>
      <c r="H42" s="421"/>
      <c r="I42" s="413"/>
      <c r="J42" s="379" t="s">
        <v>295</v>
      </c>
      <c r="K42" s="435"/>
      <c r="L42" s="422"/>
      <c r="M42" s="421"/>
      <c r="N42" s="379" t="s">
        <v>295</v>
      </c>
      <c r="O42" s="435"/>
      <c r="P42" s="422"/>
      <c r="Q42" s="421">
        <f t="shared" si="0"/>
        <v>0</v>
      </c>
      <c r="R42" s="413"/>
      <c r="S42" s="379" t="s">
        <v>295</v>
      </c>
      <c r="T42" s="435"/>
      <c r="U42" s="422"/>
      <c r="V42" s="421"/>
      <c r="W42" s="379" t="s">
        <v>295</v>
      </c>
      <c r="X42" s="420"/>
      <c r="Y42" s="422"/>
      <c r="Z42" s="421"/>
    </row>
    <row r="43" spans="1:26" x14ac:dyDescent="0.3">
      <c r="A43" s="417" t="s">
        <v>83</v>
      </c>
      <c r="B43" s="436"/>
      <c r="C43" s="424"/>
      <c r="D43" s="425"/>
      <c r="E43" s="417" t="s">
        <v>83</v>
      </c>
      <c r="F43" s="436"/>
      <c r="G43" s="424"/>
      <c r="H43" s="425"/>
      <c r="I43" s="413"/>
      <c r="J43" s="417" t="s">
        <v>83</v>
      </c>
      <c r="K43" s="436"/>
      <c r="L43" s="424"/>
      <c r="M43" s="425"/>
      <c r="N43" s="417" t="s">
        <v>83</v>
      </c>
      <c r="O43" s="436"/>
      <c r="P43" s="424"/>
      <c r="Q43" s="425">
        <f t="shared" si="0"/>
        <v>0</v>
      </c>
      <c r="R43" s="413"/>
      <c r="S43" s="417" t="s">
        <v>83</v>
      </c>
      <c r="T43" s="436"/>
      <c r="U43" s="424"/>
      <c r="V43" s="425"/>
      <c r="W43" s="417" t="s">
        <v>83</v>
      </c>
      <c r="X43" s="423"/>
      <c r="Y43" s="424"/>
      <c r="Z43" s="425"/>
    </row>
    <row r="44" spans="1:26" x14ac:dyDescent="0.3">
      <c r="A44" s="379" t="s">
        <v>244</v>
      </c>
      <c r="B44" s="420"/>
      <c r="C44" s="420"/>
      <c r="D44" s="426"/>
      <c r="E44" s="379" t="s">
        <v>244</v>
      </c>
      <c r="F44" s="420"/>
      <c r="G44" s="420"/>
      <c r="H44" s="426"/>
      <c r="I44" s="413"/>
      <c r="J44" s="379" t="s">
        <v>244</v>
      </c>
      <c r="K44" s="420"/>
      <c r="L44" s="420"/>
      <c r="M44" s="426"/>
      <c r="N44" s="379" t="s">
        <v>244</v>
      </c>
      <c r="O44" s="420"/>
      <c r="P44" s="420"/>
      <c r="Q44" s="426">
        <f t="shared" si="0"/>
        <v>0</v>
      </c>
      <c r="R44" s="413"/>
      <c r="S44" s="379" t="s">
        <v>244</v>
      </c>
      <c r="T44" s="420"/>
      <c r="U44" s="420"/>
      <c r="V44" s="426"/>
      <c r="W44" s="379" t="s">
        <v>244</v>
      </c>
      <c r="X44" s="420"/>
      <c r="Y44" s="420"/>
      <c r="Z44" s="426"/>
    </row>
    <row r="45" spans="1:26" x14ac:dyDescent="0.3">
      <c r="A45" s="417" t="s">
        <v>245</v>
      </c>
      <c r="B45" s="418"/>
      <c r="C45" s="418"/>
      <c r="D45" s="419"/>
      <c r="E45" s="417" t="s">
        <v>245</v>
      </c>
      <c r="F45" s="418"/>
      <c r="G45" s="418"/>
      <c r="H45" s="419"/>
      <c r="I45" s="413"/>
      <c r="J45" s="417" t="s">
        <v>245</v>
      </c>
      <c r="K45" s="418"/>
      <c r="L45" s="418"/>
      <c r="M45" s="419"/>
      <c r="N45" s="417" t="s">
        <v>245</v>
      </c>
      <c r="O45" s="418"/>
      <c r="P45" s="418"/>
      <c r="Q45" s="419">
        <f t="shared" si="0"/>
        <v>0</v>
      </c>
      <c r="R45" s="413"/>
      <c r="S45" s="417" t="s">
        <v>245</v>
      </c>
      <c r="T45" s="418"/>
      <c r="U45" s="418"/>
      <c r="V45" s="419"/>
      <c r="W45" s="417" t="s">
        <v>245</v>
      </c>
      <c r="X45" s="418"/>
      <c r="Y45" s="418"/>
      <c r="Z45" s="419"/>
    </row>
    <row r="46" spans="1:26" x14ac:dyDescent="0.3">
      <c r="A46" s="379" t="s">
        <v>297</v>
      </c>
      <c r="B46" s="605"/>
      <c r="C46" s="606"/>
      <c r="D46" s="380" t="s">
        <v>335</v>
      </c>
      <c r="E46" s="379" t="s">
        <v>297</v>
      </c>
      <c r="F46" s="605"/>
      <c r="G46" s="606"/>
      <c r="H46" s="380" t="s">
        <v>335</v>
      </c>
      <c r="I46" s="413"/>
      <c r="J46" s="379" t="s">
        <v>297</v>
      </c>
      <c r="K46" s="605"/>
      <c r="L46" s="606"/>
      <c r="M46" s="380" t="s">
        <v>335</v>
      </c>
      <c r="N46" s="379" t="s">
        <v>297</v>
      </c>
      <c r="O46" s="605"/>
      <c r="P46" s="606"/>
      <c r="Q46" s="380" t="s">
        <v>335</v>
      </c>
      <c r="R46" s="413"/>
      <c r="S46" s="379" t="s">
        <v>297</v>
      </c>
      <c r="T46" s="605"/>
      <c r="U46" s="606"/>
      <c r="V46" s="380" t="s">
        <v>335</v>
      </c>
      <c r="W46" s="379" t="s">
        <v>297</v>
      </c>
      <c r="X46" s="605"/>
      <c r="Y46" s="606"/>
      <c r="Z46" s="380" t="s">
        <v>335</v>
      </c>
    </row>
    <row r="47" spans="1:26" x14ac:dyDescent="0.3">
      <c r="A47" s="417" t="s">
        <v>229</v>
      </c>
      <c r="B47" s="817"/>
      <c r="C47" s="818"/>
      <c r="D47" s="427" t="s">
        <v>336</v>
      </c>
      <c r="E47" s="417" t="s">
        <v>229</v>
      </c>
      <c r="F47" s="817"/>
      <c r="G47" s="818"/>
      <c r="H47" s="427" t="s">
        <v>336</v>
      </c>
      <c r="I47" s="428"/>
      <c r="J47" s="417" t="s">
        <v>229</v>
      </c>
      <c r="K47" s="817"/>
      <c r="L47" s="818"/>
      <c r="M47" s="427" t="s">
        <v>336</v>
      </c>
      <c r="N47" s="417" t="s">
        <v>229</v>
      </c>
      <c r="O47" s="817"/>
      <c r="P47" s="818"/>
      <c r="Q47" s="427" t="s">
        <v>336</v>
      </c>
      <c r="R47" s="428"/>
      <c r="S47" s="417" t="s">
        <v>229</v>
      </c>
      <c r="T47" s="817"/>
      <c r="U47" s="818"/>
      <c r="V47" s="427" t="s">
        <v>336</v>
      </c>
      <c r="W47" s="417" t="s">
        <v>229</v>
      </c>
      <c r="X47" s="817"/>
      <c r="Y47" s="818"/>
      <c r="Z47" s="427" t="s">
        <v>336</v>
      </c>
    </row>
    <row r="48" spans="1:26" x14ac:dyDescent="0.3">
      <c r="A48" s="379" t="s">
        <v>337</v>
      </c>
      <c r="B48" s="819"/>
      <c r="C48" s="820"/>
      <c r="D48" s="821"/>
      <c r="E48" s="379" t="s">
        <v>337</v>
      </c>
      <c r="F48" s="819"/>
      <c r="G48" s="820"/>
      <c r="H48" s="821"/>
      <c r="I48" s="413"/>
      <c r="J48" s="379" t="s">
        <v>337</v>
      </c>
      <c r="K48" s="819"/>
      <c r="L48" s="820"/>
      <c r="M48" s="821"/>
      <c r="N48" s="379" t="s">
        <v>337</v>
      </c>
      <c r="O48" s="819"/>
      <c r="P48" s="820"/>
      <c r="Q48" s="821"/>
      <c r="R48" s="413"/>
      <c r="S48" s="379" t="s">
        <v>337</v>
      </c>
      <c r="T48" s="819"/>
      <c r="U48" s="820"/>
      <c r="V48" s="821"/>
      <c r="W48" s="379" t="s">
        <v>337</v>
      </c>
      <c r="X48" s="819"/>
      <c r="Y48" s="820"/>
      <c r="Z48" s="821"/>
    </row>
    <row r="49" spans="1:26" ht="15" thickBot="1" x14ac:dyDescent="0.35">
      <c r="A49" s="429" t="s">
        <v>338</v>
      </c>
      <c r="B49" s="822"/>
      <c r="C49" s="823"/>
      <c r="D49" s="824"/>
      <c r="E49" s="429" t="s">
        <v>338</v>
      </c>
      <c r="F49" s="822"/>
      <c r="G49" s="823"/>
      <c r="H49" s="824"/>
      <c r="I49" s="413"/>
      <c r="J49" s="429" t="s">
        <v>338</v>
      </c>
      <c r="K49" s="822"/>
      <c r="L49" s="823"/>
      <c r="M49" s="824"/>
      <c r="N49" s="429" t="s">
        <v>338</v>
      </c>
      <c r="O49" s="822"/>
      <c r="P49" s="823"/>
      <c r="Q49" s="824"/>
      <c r="R49" s="413"/>
      <c r="S49" s="429" t="s">
        <v>338</v>
      </c>
      <c r="T49" s="822"/>
      <c r="U49" s="823"/>
      <c r="V49" s="824"/>
      <c r="W49" s="429" t="s">
        <v>338</v>
      </c>
      <c r="X49" s="822"/>
      <c r="Y49" s="823"/>
      <c r="Z49" s="824"/>
    </row>
    <row r="50" spans="1:26" x14ac:dyDescent="0.3">
      <c r="A50" s="825" t="s">
        <v>299</v>
      </c>
      <c r="B50" s="430" t="s">
        <v>339</v>
      </c>
      <c r="C50" s="430" t="s">
        <v>340</v>
      </c>
      <c r="D50" s="431" t="s">
        <v>123</v>
      </c>
      <c r="E50" s="825" t="s">
        <v>299</v>
      </c>
      <c r="F50" s="430" t="s">
        <v>339</v>
      </c>
      <c r="G50" s="430" t="s">
        <v>340</v>
      </c>
      <c r="H50" s="431" t="s">
        <v>123</v>
      </c>
      <c r="I50" s="413"/>
      <c r="J50" s="825" t="s">
        <v>299</v>
      </c>
      <c r="K50" s="430" t="s">
        <v>339</v>
      </c>
      <c r="L50" s="430" t="s">
        <v>340</v>
      </c>
      <c r="M50" s="431" t="s">
        <v>123</v>
      </c>
      <c r="N50" s="825" t="s">
        <v>299</v>
      </c>
      <c r="O50" s="430" t="s">
        <v>339</v>
      </c>
      <c r="P50" s="430" t="s">
        <v>340</v>
      </c>
      <c r="Q50" s="431" t="s">
        <v>123</v>
      </c>
      <c r="R50" s="413"/>
      <c r="S50" s="825" t="s">
        <v>299</v>
      </c>
      <c r="T50" s="430" t="s">
        <v>339</v>
      </c>
      <c r="U50" s="430" t="s">
        <v>340</v>
      </c>
      <c r="V50" s="431" t="s">
        <v>123</v>
      </c>
      <c r="W50" s="825" t="s">
        <v>299</v>
      </c>
      <c r="X50" s="430" t="s">
        <v>339</v>
      </c>
      <c r="Y50" s="430" t="s">
        <v>340</v>
      </c>
      <c r="Z50" s="431" t="s">
        <v>123</v>
      </c>
    </row>
    <row r="51" spans="1:26" ht="15" thickBot="1" x14ac:dyDescent="0.35">
      <c r="A51" s="826"/>
      <c r="B51" s="432"/>
      <c r="C51" s="433"/>
      <c r="D51" s="434"/>
      <c r="E51" s="826"/>
      <c r="F51" s="432"/>
      <c r="G51" s="433"/>
      <c r="H51" s="434"/>
      <c r="I51" s="413"/>
      <c r="J51" s="826"/>
      <c r="K51" s="432"/>
      <c r="L51" s="433"/>
      <c r="M51" s="434"/>
      <c r="N51" s="826"/>
      <c r="O51" s="432"/>
      <c r="P51" s="433"/>
      <c r="Q51" s="434"/>
      <c r="R51" s="413"/>
      <c r="S51" s="826"/>
      <c r="T51" s="432"/>
      <c r="U51" s="433"/>
      <c r="V51" s="434"/>
      <c r="W51" s="826"/>
      <c r="X51" s="432"/>
      <c r="Y51" s="433"/>
      <c r="Z51" s="434"/>
    </row>
    <row r="52" spans="1:26" ht="15.6" thickTop="1" thickBot="1" x14ac:dyDescent="0.35">
      <c r="A52" s="415"/>
      <c r="B52" s="413"/>
      <c r="C52" s="413"/>
      <c r="D52" s="413"/>
      <c r="E52" s="415"/>
      <c r="F52" s="413"/>
      <c r="G52" s="413"/>
      <c r="H52" s="413"/>
      <c r="I52" s="413"/>
      <c r="J52" s="415"/>
      <c r="K52" s="413"/>
      <c r="L52" s="413"/>
      <c r="M52" s="413"/>
      <c r="N52" s="415"/>
      <c r="O52" s="413"/>
      <c r="P52" s="413"/>
      <c r="Q52" s="413"/>
      <c r="R52" s="413"/>
      <c r="S52" s="415"/>
      <c r="T52" s="413"/>
      <c r="U52" s="413"/>
      <c r="V52" s="413"/>
      <c r="W52" s="415"/>
      <c r="X52" s="413"/>
      <c r="Y52" s="413"/>
      <c r="Z52" s="413"/>
    </row>
    <row r="53" spans="1:26" ht="19.2" thickTop="1" thickBot="1" x14ac:dyDescent="0.4">
      <c r="A53" s="414" t="s">
        <v>289</v>
      </c>
      <c r="B53" s="831"/>
      <c r="C53" s="831"/>
      <c r="D53" s="832"/>
      <c r="E53" s="415"/>
      <c r="F53" s="831"/>
      <c r="G53" s="831"/>
      <c r="H53" s="832"/>
      <c r="I53" s="413"/>
      <c r="J53" s="414" t="s">
        <v>291</v>
      </c>
      <c r="K53" s="831"/>
      <c r="L53" s="831"/>
      <c r="M53" s="832"/>
      <c r="N53" s="415"/>
      <c r="O53" s="831"/>
      <c r="P53" s="831"/>
      <c r="Q53" s="832"/>
      <c r="R53" s="413"/>
      <c r="S53" s="414"/>
      <c r="T53" s="831"/>
      <c r="U53" s="831"/>
      <c r="V53" s="832"/>
      <c r="W53" s="415"/>
      <c r="X53" s="831"/>
      <c r="Y53" s="831"/>
      <c r="Z53" s="832"/>
    </row>
    <row r="54" spans="1:26" ht="15.6" thickTop="1" thickBot="1" x14ac:dyDescent="0.35">
      <c r="A54" s="416"/>
      <c r="B54" s="570"/>
      <c r="C54" s="570"/>
      <c r="D54" s="570"/>
      <c r="E54" s="416"/>
      <c r="F54" s="570"/>
      <c r="G54" s="570"/>
      <c r="H54" s="570"/>
      <c r="I54" s="413"/>
      <c r="J54" s="416"/>
      <c r="K54" s="570"/>
      <c r="L54" s="570"/>
      <c r="M54" s="570"/>
      <c r="N54" s="416"/>
      <c r="O54" s="570"/>
      <c r="P54" s="570"/>
      <c r="Q54" s="570"/>
      <c r="R54" s="413"/>
      <c r="S54" s="416"/>
      <c r="T54" s="570"/>
      <c r="U54" s="570"/>
      <c r="V54" s="570"/>
      <c r="W54" s="416"/>
      <c r="X54" s="570"/>
      <c r="Y54" s="570"/>
      <c r="Z54" s="570"/>
    </row>
    <row r="55" spans="1:26" x14ac:dyDescent="0.3">
      <c r="A55" s="366"/>
      <c r="B55" s="104"/>
      <c r="C55" s="104"/>
      <c r="D55" s="89"/>
      <c r="E55" s="366"/>
      <c r="F55" s="104"/>
      <c r="G55" s="104"/>
      <c r="H55" s="89"/>
      <c r="I55" s="413"/>
      <c r="J55" s="366"/>
      <c r="K55" s="104"/>
      <c r="L55" s="104"/>
      <c r="M55" s="89"/>
      <c r="N55" s="366"/>
      <c r="O55" s="104"/>
      <c r="P55" s="104"/>
      <c r="Q55" s="89"/>
      <c r="R55" s="413"/>
      <c r="S55" s="366"/>
      <c r="T55" s="104"/>
      <c r="U55" s="104"/>
      <c r="V55" s="89"/>
      <c r="W55" s="366"/>
      <c r="X55" s="104"/>
      <c r="Y55" s="104"/>
      <c r="Z55" s="89"/>
    </row>
    <row r="56" spans="1:26" x14ac:dyDescent="0.3">
      <c r="A56" s="417" t="s">
        <v>333</v>
      </c>
      <c r="B56" s="418"/>
      <c r="C56" s="418"/>
      <c r="D56" s="419"/>
      <c r="E56" s="417" t="s">
        <v>333</v>
      </c>
      <c r="F56" s="418"/>
      <c r="G56" s="418"/>
      <c r="H56" s="419"/>
      <c r="I56" s="413"/>
      <c r="J56" s="417" t="s">
        <v>333</v>
      </c>
      <c r="K56" s="418"/>
      <c r="L56" s="418"/>
      <c r="M56" s="419"/>
      <c r="N56" s="417" t="s">
        <v>333</v>
      </c>
      <c r="O56" s="418"/>
      <c r="P56" s="418"/>
      <c r="Q56" s="419"/>
      <c r="R56" s="413"/>
      <c r="S56" s="417"/>
      <c r="T56" s="418"/>
      <c r="U56" s="418"/>
      <c r="V56" s="419"/>
      <c r="W56" s="417"/>
      <c r="X56" s="418"/>
      <c r="Y56" s="418"/>
      <c r="Z56" s="419"/>
    </row>
    <row r="57" spans="1:26" x14ac:dyDescent="0.3">
      <c r="A57" s="379" t="s">
        <v>227</v>
      </c>
      <c r="B57" s="420"/>
      <c r="C57" s="420"/>
      <c r="D57" s="421"/>
      <c r="E57" s="379" t="s">
        <v>227</v>
      </c>
      <c r="F57" s="420"/>
      <c r="G57" s="420"/>
      <c r="H57" s="421"/>
      <c r="I57" s="413"/>
      <c r="J57" s="379" t="s">
        <v>227</v>
      </c>
      <c r="K57" s="420"/>
      <c r="L57" s="420"/>
      <c r="M57" s="421"/>
      <c r="N57" s="379" t="s">
        <v>227</v>
      </c>
      <c r="O57" s="420"/>
      <c r="P57" s="420"/>
      <c r="Q57" s="421"/>
      <c r="R57" s="413"/>
      <c r="S57" s="379"/>
      <c r="T57" s="420"/>
      <c r="U57" s="420"/>
      <c r="V57" s="421"/>
      <c r="W57" s="379"/>
      <c r="X57" s="420"/>
      <c r="Y57" s="420"/>
      <c r="Z57" s="421"/>
    </row>
    <row r="58" spans="1:26" x14ac:dyDescent="0.3">
      <c r="A58" s="417" t="s">
        <v>334</v>
      </c>
      <c r="B58" s="418"/>
      <c r="C58" s="418"/>
      <c r="D58" s="419"/>
      <c r="E58" s="417" t="s">
        <v>334</v>
      </c>
      <c r="F58" s="418"/>
      <c r="G58" s="418"/>
      <c r="H58" s="419"/>
      <c r="I58" s="413"/>
      <c r="J58" s="417" t="s">
        <v>334</v>
      </c>
      <c r="K58" s="418"/>
      <c r="L58" s="418"/>
      <c r="M58" s="419"/>
      <c r="N58" s="417" t="s">
        <v>334</v>
      </c>
      <c r="O58" s="418"/>
      <c r="P58" s="418"/>
      <c r="Q58" s="419"/>
      <c r="R58" s="413"/>
      <c r="S58" s="417"/>
      <c r="T58" s="418"/>
      <c r="U58" s="418"/>
      <c r="V58" s="419"/>
      <c r="W58" s="417"/>
      <c r="X58" s="418"/>
      <c r="Y58" s="418"/>
      <c r="Z58" s="419"/>
    </row>
    <row r="59" spans="1:26" x14ac:dyDescent="0.3">
      <c r="A59" s="379" t="s">
        <v>295</v>
      </c>
      <c r="B59" s="435"/>
      <c r="C59" s="422"/>
      <c r="D59" s="421"/>
      <c r="E59" s="379" t="s">
        <v>295</v>
      </c>
      <c r="F59" s="437"/>
      <c r="G59" s="422"/>
      <c r="H59" s="421"/>
      <c r="I59" s="413"/>
      <c r="J59" s="379" t="s">
        <v>295</v>
      </c>
      <c r="K59" s="435"/>
      <c r="L59" s="422"/>
      <c r="M59" s="421"/>
      <c r="N59" s="379" t="s">
        <v>295</v>
      </c>
      <c r="O59" s="435"/>
      <c r="P59" s="422"/>
      <c r="Q59" s="421"/>
      <c r="R59" s="413"/>
      <c r="S59" s="379"/>
      <c r="T59" s="420"/>
      <c r="U59" s="422"/>
      <c r="V59" s="421"/>
      <c r="W59" s="379"/>
      <c r="X59" s="420"/>
      <c r="Y59" s="422"/>
      <c r="Z59" s="421"/>
    </row>
    <row r="60" spans="1:26" x14ac:dyDescent="0.3">
      <c r="A60" s="417" t="s">
        <v>83</v>
      </c>
      <c r="B60" s="436"/>
      <c r="C60" s="424"/>
      <c r="D60" s="425"/>
      <c r="E60" s="417" t="s">
        <v>83</v>
      </c>
      <c r="F60" s="423"/>
      <c r="G60" s="424"/>
      <c r="H60" s="425"/>
      <c r="I60" s="413"/>
      <c r="J60" s="417" t="s">
        <v>83</v>
      </c>
      <c r="K60" s="436"/>
      <c r="L60" s="424"/>
      <c r="M60" s="425"/>
      <c r="N60" s="417" t="s">
        <v>83</v>
      </c>
      <c r="O60" s="436"/>
      <c r="P60" s="424"/>
      <c r="Q60" s="425"/>
      <c r="R60" s="413"/>
      <c r="S60" s="417"/>
      <c r="T60" s="423"/>
      <c r="U60" s="424"/>
      <c r="V60" s="425"/>
      <c r="W60" s="417"/>
      <c r="X60" s="423"/>
      <c r="Y60" s="424"/>
      <c r="Z60" s="425"/>
    </row>
    <row r="61" spans="1:26" x14ac:dyDescent="0.3">
      <c r="A61" s="379" t="s">
        <v>244</v>
      </c>
      <c r="B61" s="420"/>
      <c r="C61" s="420"/>
      <c r="D61" s="426"/>
      <c r="E61" s="379" t="s">
        <v>244</v>
      </c>
      <c r="F61" s="420"/>
      <c r="G61" s="420"/>
      <c r="H61" s="426"/>
      <c r="I61" s="413"/>
      <c r="J61" s="379" t="s">
        <v>244</v>
      </c>
      <c r="K61" s="420"/>
      <c r="L61" s="420"/>
      <c r="M61" s="426"/>
      <c r="N61" s="379" t="s">
        <v>244</v>
      </c>
      <c r="O61" s="420"/>
      <c r="P61" s="420"/>
      <c r="Q61" s="426"/>
      <c r="R61" s="413"/>
      <c r="S61" s="379"/>
      <c r="T61" s="420"/>
      <c r="U61" s="420"/>
      <c r="V61" s="426"/>
      <c r="W61" s="379"/>
      <c r="X61" s="420"/>
      <c r="Y61" s="420"/>
      <c r="Z61" s="426"/>
    </row>
    <row r="62" spans="1:26" x14ac:dyDescent="0.3">
      <c r="A62" s="417" t="s">
        <v>245</v>
      </c>
      <c r="B62" s="418"/>
      <c r="C62" s="418"/>
      <c r="D62" s="419"/>
      <c r="E62" s="417" t="s">
        <v>245</v>
      </c>
      <c r="F62" s="418"/>
      <c r="G62" s="418"/>
      <c r="H62" s="419"/>
      <c r="I62" s="413"/>
      <c r="J62" s="417" t="s">
        <v>245</v>
      </c>
      <c r="K62" s="418"/>
      <c r="L62" s="418"/>
      <c r="M62" s="419"/>
      <c r="N62" s="417" t="s">
        <v>245</v>
      </c>
      <c r="O62" s="418"/>
      <c r="P62" s="418"/>
      <c r="Q62" s="419"/>
      <c r="R62" s="413"/>
      <c r="S62" s="417"/>
      <c r="T62" s="418"/>
      <c r="U62" s="418"/>
      <c r="V62" s="419"/>
      <c r="W62" s="417"/>
      <c r="X62" s="418"/>
      <c r="Y62" s="418"/>
      <c r="Z62" s="419"/>
    </row>
    <row r="63" spans="1:26" x14ac:dyDescent="0.3">
      <c r="A63" s="379" t="s">
        <v>297</v>
      </c>
      <c r="B63" s="605"/>
      <c r="C63" s="606"/>
      <c r="D63" s="380" t="s">
        <v>335</v>
      </c>
      <c r="E63" s="379" t="s">
        <v>297</v>
      </c>
      <c r="F63" s="605"/>
      <c r="G63" s="606"/>
      <c r="H63" s="380" t="s">
        <v>335</v>
      </c>
      <c r="I63" s="413"/>
      <c r="J63" s="379" t="s">
        <v>297</v>
      </c>
      <c r="K63" s="605"/>
      <c r="L63" s="606"/>
      <c r="M63" s="380" t="s">
        <v>335</v>
      </c>
      <c r="N63" s="379" t="s">
        <v>297</v>
      </c>
      <c r="O63" s="605"/>
      <c r="P63" s="606"/>
      <c r="Q63" s="380" t="s">
        <v>335</v>
      </c>
      <c r="R63" s="413"/>
      <c r="S63" s="379"/>
      <c r="T63" s="605"/>
      <c r="U63" s="606"/>
      <c r="V63" s="380"/>
      <c r="W63" s="379"/>
      <c r="X63" s="605"/>
      <c r="Y63" s="606"/>
      <c r="Z63" s="380"/>
    </row>
    <row r="64" spans="1:26" x14ac:dyDescent="0.3">
      <c r="A64" s="417" t="s">
        <v>229</v>
      </c>
      <c r="B64" s="817"/>
      <c r="C64" s="818"/>
      <c r="D64" s="427" t="s">
        <v>336</v>
      </c>
      <c r="E64" s="417" t="s">
        <v>229</v>
      </c>
      <c r="F64" s="817"/>
      <c r="G64" s="818"/>
      <c r="H64" s="427" t="s">
        <v>336</v>
      </c>
      <c r="I64" s="428"/>
      <c r="J64" s="417" t="s">
        <v>229</v>
      </c>
      <c r="K64" s="817"/>
      <c r="L64" s="818"/>
      <c r="M64" s="427" t="s">
        <v>336</v>
      </c>
      <c r="N64" s="417" t="s">
        <v>229</v>
      </c>
      <c r="O64" s="817"/>
      <c r="P64" s="818"/>
      <c r="Q64" s="427" t="s">
        <v>336</v>
      </c>
      <c r="R64" s="428"/>
      <c r="S64" s="417"/>
      <c r="T64" s="817"/>
      <c r="U64" s="818"/>
      <c r="V64" s="427"/>
      <c r="W64" s="417"/>
      <c r="X64" s="817"/>
      <c r="Y64" s="818"/>
      <c r="Z64" s="427"/>
    </row>
    <row r="65" spans="1:26" x14ac:dyDescent="0.3">
      <c r="A65" s="379" t="s">
        <v>337</v>
      </c>
      <c r="B65" s="819"/>
      <c r="C65" s="820"/>
      <c r="D65" s="821"/>
      <c r="E65" s="379" t="s">
        <v>337</v>
      </c>
      <c r="F65" s="819" t="e">
        <f>(((SUMIF([2]Jan!F243,"&gt;0")+SUMIF([2]Fev!F243,"&gt;0")+SUMIF([2]Mar!F243,"&gt;0")+SUMIF([2]Abr!F243,"&gt;0")+SUMIF([2]Mai!F243,"&gt;0")+SUMIF([2]Jun!F243,"&gt;0")+SUMIF([2]Jul!F243,"&gt;0")+SUMIF([2]Ago!F243,"&gt;0")+SUMIF([2]Set!F243,"&gt;0")+SUMIF([2]Out!F243,"&gt;0")+SUMIF([2]Nov!F243,"&gt;0")+SUMIF([2]Dez!F243,"&gt;0"))/((COUNTIF([2]Jan!F243,"&gt;0")+COUNTIF([2]Fev!F243,"&gt;0")+COUNTIF([2]Mar!F243,"&gt;0")+COUNTIF([2]Abr!F243,"&gt;0")+COUNTIF([2]Mai!F243,"&gt;0")+COUNTIF([2]Jun!F243,"&gt;0")+COUNTIF([2]Jul!F243,"&gt;0")+COUNTIF([2]Ago!F243,"&gt;0")+COUNTIF([2]Set!F243,"&gt;0")+COUNTIF([2]Out!F243,"&gt;0")+COUNTIF([2]Nov!F243,"&gt;0")+COUNTIF([2]Dez!F243,"&gt;0"))))*100)/E69</f>
        <v>#VALUE!</v>
      </c>
      <c r="G65" s="820"/>
      <c r="H65" s="821"/>
      <c r="I65" s="413"/>
      <c r="J65" s="379" t="s">
        <v>337</v>
      </c>
      <c r="K65" s="819"/>
      <c r="L65" s="820"/>
      <c r="M65" s="821"/>
      <c r="N65" s="379" t="s">
        <v>337</v>
      </c>
      <c r="O65" s="819"/>
      <c r="P65" s="820"/>
      <c r="Q65" s="821"/>
      <c r="R65" s="413"/>
      <c r="S65" s="379"/>
      <c r="T65" s="829"/>
      <c r="U65" s="829"/>
      <c r="V65" s="830"/>
      <c r="W65" s="379"/>
      <c r="X65" s="829"/>
      <c r="Y65" s="829"/>
      <c r="Z65" s="830"/>
    </row>
    <row r="66" spans="1:26" ht="15" thickBot="1" x14ac:dyDescent="0.35">
      <c r="A66" s="429" t="s">
        <v>338</v>
      </c>
      <c r="B66" s="822"/>
      <c r="C66" s="823"/>
      <c r="D66" s="824"/>
      <c r="E66" s="429" t="s">
        <v>338</v>
      </c>
      <c r="F66" s="822" t="e">
        <f>(((SUMIF([2]Jan!F244,"&gt;0")+SUMIF([2]Fev!F244,"&gt;0")+SUMIF([2]Mar!F244,"&gt;0")+SUMIF([2]Abr!F244,"&gt;0")+SUMIF([2]Mai!F244,"&gt;0")+SUMIF([2]Jun!F244,"&gt;0")+SUMIF([2]Jul!F244,"&gt;0")+SUMIF([2]Ago!F244,"&gt;0")+SUMIF([2]Set!F244,"&gt;0")+SUMIF([2]Out!F244,"&gt;0")+SUMIF([2]Nov!F244,"&gt;0")+SUMIF([2]Dez!F244,"&gt;0"))/(COUNTIF([2]Jan!F244,"&gt;0")+COUNTIF([2]Fev!F244,"&gt;0")+COUNTIF([2]Mar!F244,"&gt;0")+COUNTIF([2]Abr!F244,"&gt;0")+COUNTIF([2]Mai!F244,"&gt;0")+COUNTIF([2]Jun!F244,"&gt;0")+COUNTIF([2]Jul!F244,"&gt;0")+COUNTIF([2]Ago!F244,"&gt;0")+COUNTIF([2]Set!F244,"&gt;0")+COUNTIF([2]Out!F244,"&gt;0")+COUNTIF([2]Nov!F244,"&gt;0")+COUNTIF([2]Dez!F244,"&gt;0"))*100)/E69)</f>
        <v>#VALUE!</v>
      </c>
      <c r="G66" s="823"/>
      <c r="H66" s="824"/>
      <c r="I66" s="413"/>
      <c r="J66" s="429" t="s">
        <v>338</v>
      </c>
      <c r="K66" s="822"/>
      <c r="L66" s="823"/>
      <c r="M66" s="824"/>
      <c r="N66" s="429" t="s">
        <v>338</v>
      </c>
      <c r="O66" s="822"/>
      <c r="P66" s="823"/>
      <c r="Q66" s="824"/>
      <c r="R66" s="413"/>
      <c r="S66" s="429"/>
      <c r="T66" s="827"/>
      <c r="U66" s="827"/>
      <c r="V66" s="828"/>
      <c r="W66" s="429"/>
      <c r="X66" s="827"/>
      <c r="Y66" s="827"/>
      <c r="Z66" s="828"/>
    </row>
    <row r="67" spans="1:26" x14ac:dyDescent="0.3">
      <c r="A67" s="825" t="s">
        <v>299</v>
      </c>
      <c r="B67" s="430" t="s">
        <v>339</v>
      </c>
      <c r="C67" s="430" t="s">
        <v>340</v>
      </c>
      <c r="D67" s="431" t="s">
        <v>123</v>
      </c>
      <c r="E67" s="825" t="s">
        <v>299</v>
      </c>
      <c r="F67" s="430" t="s">
        <v>339</v>
      </c>
      <c r="G67" s="430" t="s">
        <v>340</v>
      </c>
      <c r="H67" s="431" t="s">
        <v>123</v>
      </c>
      <c r="I67" s="413"/>
      <c r="J67" s="825" t="s">
        <v>299</v>
      </c>
      <c r="K67" s="430" t="s">
        <v>339</v>
      </c>
      <c r="L67" s="430" t="s">
        <v>340</v>
      </c>
      <c r="M67" s="431" t="s">
        <v>123</v>
      </c>
      <c r="N67" s="825" t="s">
        <v>299</v>
      </c>
      <c r="O67" s="430" t="s">
        <v>339</v>
      </c>
      <c r="P67" s="430" t="s">
        <v>340</v>
      </c>
      <c r="Q67" s="431" t="s">
        <v>123</v>
      </c>
      <c r="R67" s="413"/>
      <c r="S67" s="825"/>
      <c r="T67" s="430"/>
      <c r="U67" s="430"/>
      <c r="V67" s="431"/>
      <c r="W67" s="825"/>
      <c r="X67" s="430"/>
      <c r="Y67" s="430"/>
      <c r="Z67" s="431"/>
    </row>
    <row r="68" spans="1:26" ht="15" thickBot="1" x14ac:dyDescent="0.35">
      <c r="A68" s="826"/>
      <c r="B68" s="432"/>
      <c r="C68" s="433"/>
      <c r="D68" s="434"/>
      <c r="E68" s="826"/>
      <c r="F68" s="432"/>
      <c r="G68" s="433"/>
      <c r="H68" s="434"/>
      <c r="I68" s="413"/>
      <c r="J68" s="826"/>
      <c r="K68" s="432"/>
      <c r="L68" s="433"/>
      <c r="M68" s="434"/>
      <c r="N68" s="826"/>
      <c r="O68" s="432"/>
      <c r="P68" s="433"/>
      <c r="Q68" s="434"/>
      <c r="R68" s="413"/>
      <c r="S68" s="826"/>
      <c r="T68" s="432"/>
      <c r="U68" s="433"/>
      <c r="V68" s="434"/>
      <c r="W68" s="826"/>
      <c r="X68" s="432"/>
      <c r="Y68" s="433"/>
      <c r="Z68" s="434"/>
    </row>
  </sheetData>
  <mergeCells count="166">
    <mergeCell ref="B3:D3"/>
    <mergeCell ref="F3:H3"/>
    <mergeCell ref="K3:M3"/>
    <mergeCell ref="O3:Q3"/>
    <mergeCell ref="T3:V3"/>
    <mergeCell ref="X3:Z3"/>
    <mergeCell ref="B2:D2"/>
    <mergeCell ref="F2:H2"/>
    <mergeCell ref="K2:M2"/>
    <mergeCell ref="O2:Q2"/>
    <mergeCell ref="T2:V2"/>
    <mergeCell ref="X2:Z2"/>
    <mergeCell ref="B13:C13"/>
    <mergeCell ref="F13:G13"/>
    <mergeCell ref="K13:L13"/>
    <mergeCell ref="O13:P13"/>
    <mergeCell ref="T13:U13"/>
    <mergeCell ref="X13:Y13"/>
    <mergeCell ref="B12:C12"/>
    <mergeCell ref="F12:G12"/>
    <mergeCell ref="K12:L12"/>
    <mergeCell ref="O12:P12"/>
    <mergeCell ref="T12:U12"/>
    <mergeCell ref="X12:Y12"/>
    <mergeCell ref="B15:D15"/>
    <mergeCell ref="F15:H15"/>
    <mergeCell ref="K15:M15"/>
    <mergeCell ref="O15:Q15"/>
    <mergeCell ref="T15:V15"/>
    <mergeCell ref="X15:Z15"/>
    <mergeCell ref="B14:D14"/>
    <mergeCell ref="F14:H14"/>
    <mergeCell ref="K14:M14"/>
    <mergeCell ref="O14:Q14"/>
    <mergeCell ref="T14:V14"/>
    <mergeCell ref="X14:Z14"/>
    <mergeCell ref="B19:D19"/>
    <mergeCell ref="K19:M19"/>
    <mergeCell ref="O19:Q19"/>
    <mergeCell ref="T19:V19"/>
    <mergeCell ref="X19:Z19"/>
    <mergeCell ref="A16:A17"/>
    <mergeCell ref="E16:E17"/>
    <mergeCell ref="J16:J17"/>
    <mergeCell ref="N16:N17"/>
    <mergeCell ref="S16:S17"/>
    <mergeCell ref="W16:W17"/>
    <mergeCell ref="E19:H19"/>
    <mergeCell ref="K29:L29"/>
    <mergeCell ref="O29:P29"/>
    <mergeCell ref="T29:U29"/>
    <mergeCell ref="X29:Y29"/>
    <mergeCell ref="K20:M20"/>
    <mergeCell ref="O20:Q20"/>
    <mergeCell ref="T20:V20"/>
    <mergeCell ref="X20:Z20"/>
    <mergeCell ref="X32:Z32"/>
    <mergeCell ref="K31:M31"/>
    <mergeCell ref="O31:Q31"/>
    <mergeCell ref="T31:V31"/>
    <mergeCell ref="X31:Z31"/>
    <mergeCell ref="K30:L30"/>
    <mergeCell ref="O30:P30"/>
    <mergeCell ref="T30:U30"/>
    <mergeCell ref="X30:Y30"/>
    <mergeCell ref="J33:J34"/>
    <mergeCell ref="N33:N34"/>
    <mergeCell ref="S33:S34"/>
    <mergeCell ref="W33:W34"/>
    <mergeCell ref="K32:M32"/>
    <mergeCell ref="O32:Q32"/>
    <mergeCell ref="T32:V32"/>
    <mergeCell ref="B37:D37"/>
    <mergeCell ref="F37:H37"/>
    <mergeCell ref="K37:M37"/>
    <mergeCell ref="O37:Q37"/>
    <mergeCell ref="T37:V37"/>
    <mergeCell ref="X37:Z37"/>
    <mergeCell ref="B36:D36"/>
    <mergeCell ref="F36:H36"/>
    <mergeCell ref="K36:M36"/>
    <mergeCell ref="O36:Q36"/>
    <mergeCell ref="T36:V36"/>
    <mergeCell ref="X36:Z36"/>
    <mergeCell ref="B47:C47"/>
    <mergeCell ref="F47:G47"/>
    <mergeCell ref="K47:L47"/>
    <mergeCell ref="O47:P47"/>
    <mergeCell ref="T47:U47"/>
    <mergeCell ref="X47:Y47"/>
    <mergeCell ref="B46:C46"/>
    <mergeCell ref="F46:G46"/>
    <mergeCell ref="K46:L46"/>
    <mergeCell ref="O46:P46"/>
    <mergeCell ref="T46:U46"/>
    <mergeCell ref="X46:Y46"/>
    <mergeCell ref="B49:D49"/>
    <mergeCell ref="F49:H49"/>
    <mergeCell ref="K49:M49"/>
    <mergeCell ref="O49:Q49"/>
    <mergeCell ref="T49:V49"/>
    <mergeCell ref="X49:Z49"/>
    <mergeCell ref="B48:D48"/>
    <mergeCell ref="F48:H48"/>
    <mergeCell ref="K48:M48"/>
    <mergeCell ref="O48:Q48"/>
    <mergeCell ref="T48:V48"/>
    <mergeCell ref="X48:Z48"/>
    <mergeCell ref="B53:D53"/>
    <mergeCell ref="F53:H53"/>
    <mergeCell ref="K53:M53"/>
    <mergeCell ref="O53:Q53"/>
    <mergeCell ref="T53:V53"/>
    <mergeCell ref="X53:Z53"/>
    <mergeCell ref="A50:A51"/>
    <mergeCell ref="E50:E51"/>
    <mergeCell ref="J50:J51"/>
    <mergeCell ref="N50:N51"/>
    <mergeCell ref="S50:S51"/>
    <mergeCell ref="W50:W51"/>
    <mergeCell ref="B63:C63"/>
    <mergeCell ref="F63:G63"/>
    <mergeCell ref="K63:L63"/>
    <mergeCell ref="O63:P63"/>
    <mergeCell ref="T63:U63"/>
    <mergeCell ref="X63:Y63"/>
    <mergeCell ref="B54:D54"/>
    <mergeCell ref="F54:H54"/>
    <mergeCell ref="K54:M54"/>
    <mergeCell ref="O54:Q54"/>
    <mergeCell ref="T54:V54"/>
    <mergeCell ref="X54:Z54"/>
    <mergeCell ref="X66:Z66"/>
    <mergeCell ref="B65:D65"/>
    <mergeCell ref="F65:H65"/>
    <mergeCell ref="K65:M65"/>
    <mergeCell ref="O65:Q65"/>
    <mergeCell ref="T65:V65"/>
    <mergeCell ref="X65:Z65"/>
    <mergeCell ref="B64:C64"/>
    <mergeCell ref="F64:G64"/>
    <mergeCell ref="K64:L64"/>
    <mergeCell ref="O64:P64"/>
    <mergeCell ref="T64:U64"/>
    <mergeCell ref="X64:Y64"/>
    <mergeCell ref="A67:A68"/>
    <mergeCell ref="E67:E68"/>
    <mergeCell ref="J67:J68"/>
    <mergeCell ref="N67:N68"/>
    <mergeCell ref="S67:S68"/>
    <mergeCell ref="W67:W68"/>
    <mergeCell ref="B66:D66"/>
    <mergeCell ref="F66:H66"/>
    <mergeCell ref="K66:M66"/>
    <mergeCell ref="O66:Q66"/>
    <mergeCell ref="T66:V66"/>
    <mergeCell ref="B29:C29"/>
    <mergeCell ref="F29:G29"/>
    <mergeCell ref="B30:C30"/>
    <mergeCell ref="F30:G30"/>
    <mergeCell ref="B31:D31"/>
    <mergeCell ref="F31:H31"/>
    <mergeCell ref="B32:D32"/>
    <mergeCell ref="F32:H32"/>
    <mergeCell ref="A33:A34"/>
    <mergeCell ref="E33:E34"/>
  </mergeCells>
  <conditionalFormatting sqref="A2 J2 S2 A19 J19 S19 A36 J36">
    <cfRule type="cellIs" dxfId="279" priority="668" operator="equal">
      <formula>0</formula>
    </cfRule>
  </conditionalFormatting>
  <conditionalFormatting sqref="A53 J53">
    <cfRule type="cellIs" dxfId="278" priority="457" operator="equal">
      <formula>0</formula>
    </cfRule>
  </conditionalFormatting>
  <conditionalFormatting sqref="B9">
    <cfRule type="cellIs" dxfId="277" priority="378" operator="greaterThan">
      <formula>0.095</formula>
    </cfRule>
  </conditionalFormatting>
  <conditionalFormatting sqref="B26">
    <cfRule type="cellIs" dxfId="276" priority="219" operator="greaterThan">
      <formula>0.095</formula>
    </cfRule>
  </conditionalFormatting>
  <conditionalFormatting sqref="B43">
    <cfRule type="cellIs" dxfId="275" priority="127" operator="greaterThan">
      <formula>0.095</formula>
    </cfRule>
  </conditionalFormatting>
  <conditionalFormatting sqref="B60">
    <cfRule type="cellIs" dxfId="274" priority="46" operator="greaterThan">
      <formula>0.095</formula>
    </cfRule>
  </conditionalFormatting>
  <conditionalFormatting sqref="B7:D7">
    <cfRule type="containsErrors" dxfId="273" priority="380">
      <formula>ISERROR(B7)</formula>
    </cfRule>
  </conditionalFormatting>
  <conditionalFormatting sqref="B9:D9">
    <cfRule type="containsErrors" dxfId="272" priority="381">
      <formula>ISERROR(B9)</formula>
    </cfRule>
  </conditionalFormatting>
  <conditionalFormatting sqref="B14:D15 F14:H15">
    <cfRule type="containsErrors" dxfId="271" priority="679">
      <formula>ISERROR(B14)</formula>
    </cfRule>
  </conditionalFormatting>
  <conditionalFormatting sqref="B15:D15">
    <cfRule type="containsErrors" dxfId="270" priority="370">
      <formula>ISERROR(B15)</formula>
    </cfRule>
    <cfRule type="containsErrors" dxfId="269" priority="371">
      <formula>ISERROR(B15)</formula>
    </cfRule>
  </conditionalFormatting>
  <conditionalFormatting sqref="B24:D24">
    <cfRule type="containsErrors" dxfId="268" priority="220">
      <formula>ISERROR(B24)</formula>
    </cfRule>
  </conditionalFormatting>
  <conditionalFormatting sqref="B26:D26">
    <cfRule type="containsErrors" dxfId="267" priority="221">
      <formula>ISERROR(B26)</formula>
    </cfRule>
  </conditionalFormatting>
  <conditionalFormatting sqref="B31:D32 F31:H32">
    <cfRule type="containsErrors" dxfId="266" priority="223">
      <formula>ISERROR(B31)</formula>
    </cfRule>
  </conditionalFormatting>
  <conditionalFormatting sqref="B32:D32">
    <cfRule type="containsErrors" dxfId="265" priority="213">
      <formula>ISERROR(B32)</formula>
    </cfRule>
    <cfRule type="containsErrors" dxfId="264" priority="214">
      <formula>ISERROR(B32)</formula>
    </cfRule>
  </conditionalFormatting>
  <conditionalFormatting sqref="B41:D41">
    <cfRule type="containsErrors" dxfId="263" priority="128">
      <formula>ISERROR(B41)</formula>
    </cfRule>
  </conditionalFormatting>
  <conditionalFormatting sqref="B43:D43">
    <cfRule type="containsErrors" dxfId="262" priority="129">
      <formula>ISERROR(B43)</formula>
    </cfRule>
  </conditionalFormatting>
  <conditionalFormatting sqref="B48:D49 F48:H49">
    <cfRule type="containsErrors" dxfId="261" priority="131">
      <formula>ISERROR(B48)</formula>
    </cfRule>
  </conditionalFormatting>
  <conditionalFormatting sqref="B49:D49">
    <cfRule type="containsErrors" dxfId="260" priority="122">
      <formula>ISERROR(B49)</formula>
    </cfRule>
    <cfRule type="containsErrors" dxfId="259" priority="121">
      <formula>ISERROR(B49)</formula>
    </cfRule>
  </conditionalFormatting>
  <conditionalFormatting sqref="B58:D58">
    <cfRule type="containsErrors" dxfId="258" priority="47">
      <formula>ISERROR(B58)</formula>
    </cfRule>
  </conditionalFormatting>
  <conditionalFormatting sqref="B60:D60">
    <cfRule type="containsErrors" dxfId="257" priority="48">
      <formula>ISERROR(B60)</formula>
    </cfRule>
  </conditionalFormatting>
  <conditionalFormatting sqref="B65:D66 F65:H66">
    <cfRule type="containsErrors" dxfId="256" priority="50">
      <formula>ISERROR(B65)</formula>
    </cfRule>
  </conditionalFormatting>
  <conditionalFormatting sqref="B66:D66">
    <cfRule type="containsErrors" dxfId="255" priority="41">
      <formula>ISERROR(B66)</formula>
    </cfRule>
    <cfRule type="containsErrors" dxfId="254" priority="40">
      <formula>ISERROR(B66)</formula>
    </cfRule>
  </conditionalFormatting>
  <conditionalFormatting sqref="C8">
    <cfRule type="containsErrors" dxfId="253" priority="382">
      <formula>ISERROR(C8)</formula>
    </cfRule>
  </conditionalFormatting>
  <conditionalFormatting sqref="C25">
    <cfRule type="containsErrors" dxfId="252" priority="222">
      <formula>ISERROR(C25)</formula>
    </cfRule>
  </conditionalFormatting>
  <conditionalFormatting sqref="C42">
    <cfRule type="containsErrors" dxfId="251" priority="130">
      <formula>ISERROR(C42)</formula>
    </cfRule>
  </conditionalFormatting>
  <conditionalFormatting sqref="C59">
    <cfRule type="containsErrors" dxfId="250" priority="49">
      <formula>ISERROR(C59)</formula>
    </cfRule>
  </conditionalFormatting>
  <conditionalFormatting sqref="D7">
    <cfRule type="cellIs" dxfId="249" priority="680" operator="lessThan">
      <formula>0</formula>
    </cfRule>
  </conditionalFormatting>
  <conditionalFormatting sqref="D9">
    <cfRule type="cellIs" dxfId="248" priority="377" operator="greaterThan">
      <formula>0.5%</formula>
    </cfRule>
    <cfRule type="cellIs" dxfId="247" priority="377" operator="lessThan">
      <formula>-1%</formula>
    </cfRule>
  </conditionalFormatting>
  <conditionalFormatting sqref="D10:D11">
    <cfRule type="cellIs" dxfId="246" priority="374" operator="greaterThan">
      <formula>0</formula>
    </cfRule>
  </conditionalFormatting>
  <conditionalFormatting sqref="D12">
    <cfRule type="cellIs" dxfId="245" priority="3" operator="lessThan">
      <formula>0</formula>
    </cfRule>
  </conditionalFormatting>
  <conditionalFormatting sqref="D17">
    <cfRule type="containsErrors" dxfId="244" priority="372">
      <formula>ISERROR(D17)</formula>
    </cfRule>
  </conditionalFormatting>
  <conditionalFormatting sqref="D24">
    <cfRule type="cellIs" dxfId="243" priority="224" operator="lessThan">
      <formula>0</formula>
    </cfRule>
  </conditionalFormatting>
  <conditionalFormatting sqref="D26">
    <cfRule type="cellIs" dxfId="242" priority="218" operator="lessThan">
      <formula>-1%</formula>
    </cfRule>
  </conditionalFormatting>
  <conditionalFormatting sqref="D27:D28">
    <cfRule type="cellIs" dxfId="241" priority="216" operator="greaterThan">
      <formula>0</formula>
    </cfRule>
  </conditionalFormatting>
  <conditionalFormatting sqref="D29">
    <cfRule type="cellIs" dxfId="240" priority="4" operator="lessThan">
      <formula>0</formula>
    </cfRule>
  </conditionalFormatting>
  <conditionalFormatting sqref="D34">
    <cfRule type="containsErrors" dxfId="239" priority="215">
      <formula>ISERROR(D34)</formula>
    </cfRule>
  </conditionalFormatting>
  <conditionalFormatting sqref="D41">
    <cfRule type="cellIs" dxfId="238" priority="132" operator="lessThan">
      <formula>0</formula>
    </cfRule>
  </conditionalFormatting>
  <conditionalFormatting sqref="D43">
    <cfRule type="cellIs" dxfId="237" priority="126" operator="lessThan">
      <formula>-1%</formula>
    </cfRule>
    <cfRule type="cellIs" dxfId="236" priority="124" operator="greaterThan">
      <formula>0.5%</formula>
    </cfRule>
  </conditionalFormatting>
  <conditionalFormatting sqref="D44:D45">
    <cfRule type="cellIs" dxfId="235" priority="684" operator="greaterThan">
      <formula>0</formula>
    </cfRule>
  </conditionalFormatting>
  <conditionalFormatting sqref="D46">
    <cfRule type="cellIs" dxfId="234" priority="125" operator="lessThan">
      <formula>0</formula>
    </cfRule>
  </conditionalFormatting>
  <conditionalFormatting sqref="D51">
    <cfRule type="containsErrors" dxfId="233" priority="123">
      <formula>ISERROR(D51)</formula>
    </cfRule>
  </conditionalFormatting>
  <conditionalFormatting sqref="D58">
    <cfRule type="cellIs" dxfId="232" priority="51" operator="lessThan">
      <formula>0</formula>
    </cfRule>
  </conditionalFormatting>
  <conditionalFormatting sqref="D60">
    <cfRule type="cellIs" dxfId="231" priority="45" operator="lessThan">
      <formula>-1%</formula>
    </cfRule>
  </conditionalFormatting>
  <conditionalFormatting sqref="D61:D62">
    <cfRule type="cellIs" dxfId="230" priority="43" operator="greaterThan">
      <formula>0</formula>
    </cfRule>
  </conditionalFormatting>
  <conditionalFormatting sqref="D63">
    <cfRule type="cellIs" dxfId="229" priority="44" operator="lessThan">
      <formula>0</formula>
    </cfRule>
  </conditionalFormatting>
  <conditionalFormatting sqref="D68">
    <cfRule type="containsErrors" dxfId="228" priority="42">
      <formula>ISERROR(D68)</formula>
    </cfRule>
  </conditionalFormatting>
  <conditionalFormatting sqref="F9">
    <cfRule type="cellIs" dxfId="227" priority="366" operator="greaterThan">
      <formula>0.095</formula>
    </cfRule>
  </conditionalFormatting>
  <conditionalFormatting sqref="F26">
    <cfRule type="cellIs" dxfId="226" priority="209" operator="greaterThan">
      <formula>0.095</formula>
    </cfRule>
  </conditionalFormatting>
  <conditionalFormatting sqref="F43">
    <cfRule type="cellIs" dxfId="225" priority="104" operator="greaterThan">
      <formula>0.095</formula>
    </cfRule>
  </conditionalFormatting>
  <conditionalFormatting sqref="F60">
    <cfRule type="cellIs" dxfId="224" priority="36" operator="greaterThan">
      <formula>0.095</formula>
    </cfRule>
  </conditionalFormatting>
  <conditionalFormatting sqref="F7:H7">
    <cfRule type="containsErrors" dxfId="223" priority="368">
      <formula>ISERROR(F7)</formula>
    </cfRule>
  </conditionalFormatting>
  <conditionalFormatting sqref="F9:H9 G8">
    <cfRule type="containsErrors" dxfId="222" priority="369">
      <formula>ISERROR(F8)</formula>
    </cfRule>
  </conditionalFormatting>
  <conditionalFormatting sqref="F15:H15">
    <cfRule type="containsErrors" dxfId="221" priority="358">
      <formula>ISERROR(F15)</formula>
    </cfRule>
    <cfRule type="containsErrors" dxfId="220" priority="359">
      <formula>ISERROR(F15)</formula>
    </cfRule>
  </conditionalFormatting>
  <conditionalFormatting sqref="F24:H24">
    <cfRule type="containsErrors" dxfId="219" priority="211">
      <formula>ISERROR(F24)</formula>
    </cfRule>
  </conditionalFormatting>
  <conditionalFormatting sqref="F26:H26 G25">
    <cfRule type="containsErrors" dxfId="218" priority="212">
      <formula>ISERROR(F25)</formula>
    </cfRule>
  </conditionalFormatting>
  <conditionalFormatting sqref="F32:H32">
    <cfRule type="containsErrors" dxfId="217" priority="202">
      <formula>ISERROR(F32)</formula>
    </cfRule>
    <cfRule type="containsErrors" dxfId="216" priority="203">
      <formula>ISERROR(F32)</formula>
    </cfRule>
  </conditionalFormatting>
  <conditionalFormatting sqref="F41:H41">
    <cfRule type="containsErrors" dxfId="215" priority="105">
      <formula>ISERROR(F41)</formula>
    </cfRule>
  </conditionalFormatting>
  <conditionalFormatting sqref="F43:H43">
    <cfRule type="containsErrors" dxfId="214" priority="106">
      <formula>ISERROR(F43)</formula>
    </cfRule>
  </conditionalFormatting>
  <conditionalFormatting sqref="F49:H49">
    <cfRule type="containsErrors" dxfId="213" priority="98">
      <formula>ISERROR(F49)</formula>
    </cfRule>
    <cfRule type="containsErrors" dxfId="212" priority="99">
      <formula>ISERROR(F49)</formula>
    </cfRule>
  </conditionalFormatting>
  <conditionalFormatting sqref="F58:H58">
    <cfRule type="containsErrors" dxfId="211" priority="38">
      <formula>ISERROR(F58)</formula>
    </cfRule>
  </conditionalFormatting>
  <conditionalFormatting sqref="F60:H60 G59">
    <cfRule type="containsErrors" dxfId="210" priority="39">
      <formula>ISERROR(F59)</formula>
    </cfRule>
  </conditionalFormatting>
  <conditionalFormatting sqref="F66:H66">
    <cfRule type="containsErrors" dxfId="209" priority="30">
      <formula>ISERROR(F66)</formula>
    </cfRule>
    <cfRule type="containsErrors" dxfId="208" priority="29">
      <formula>ISERROR(F66)</formula>
    </cfRule>
  </conditionalFormatting>
  <conditionalFormatting sqref="G42">
    <cfRule type="containsErrors" dxfId="207" priority="107">
      <formula>ISERROR(G42)</formula>
    </cfRule>
  </conditionalFormatting>
  <conditionalFormatting sqref="H7">
    <cfRule type="cellIs" dxfId="206" priority="367" operator="lessThan">
      <formula>0</formula>
    </cfRule>
  </conditionalFormatting>
  <conditionalFormatting sqref="H9">
    <cfRule type="cellIs" dxfId="205" priority="365" operator="greaterThan">
      <formula>0.5%</formula>
    </cfRule>
    <cfRule type="cellIs" dxfId="204" priority="364" operator="lessThan">
      <formula>-1%</formula>
    </cfRule>
  </conditionalFormatting>
  <conditionalFormatting sqref="H10:H11">
    <cfRule type="cellIs" dxfId="203" priority="361" operator="greaterThan">
      <formula>0</formula>
    </cfRule>
  </conditionalFormatting>
  <conditionalFormatting sqref="H12">
    <cfRule type="cellIs" dxfId="202" priority="2" operator="lessThan">
      <formula>0</formula>
    </cfRule>
  </conditionalFormatting>
  <conditionalFormatting sqref="H17">
    <cfRule type="containsErrors" dxfId="201" priority="360">
      <formula>ISERROR(H17)</formula>
    </cfRule>
  </conditionalFormatting>
  <conditionalFormatting sqref="H24">
    <cfRule type="cellIs" dxfId="200" priority="210" operator="lessThan">
      <formula>0</formula>
    </cfRule>
  </conditionalFormatting>
  <conditionalFormatting sqref="H26">
    <cfRule type="cellIs" dxfId="199" priority="208" operator="greaterThan">
      <formula>0.5%</formula>
    </cfRule>
    <cfRule type="cellIs" dxfId="198" priority="207" operator="lessThan">
      <formula>-1%</formula>
    </cfRule>
  </conditionalFormatting>
  <conditionalFormatting sqref="H27:H28">
    <cfRule type="cellIs" dxfId="197" priority="205" operator="greaterThan">
      <formula>0</formula>
    </cfRule>
  </conditionalFormatting>
  <conditionalFormatting sqref="H29">
    <cfRule type="cellIs" dxfId="196" priority="1" operator="lessThan">
      <formula>0</formula>
    </cfRule>
  </conditionalFormatting>
  <conditionalFormatting sqref="H34">
    <cfRule type="containsErrors" dxfId="195" priority="204">
      <formula>ISERROR(H34)</formula>
    </cfRule>
  </conditionalFormatting>
  <conditionalFormatting sqref="H41">
    <cfRule type="cellIs" dxfId="194" priority="108" operator="lessThan">
      <formula>0</formula>
    </cfRule>
  </conditionalFormatting>
  <conditionalFormatting sqref="H43">
    <cfRule type="cellIs" dxfId="193" priority="101" operator="greaterThan">
      <formula>0.5%</formula>
    </cfRule>
    <cfRule type="cellIs" dxfId="192" priority="103" operator="lessThan">
      <formula>-1%</formula>
    </cfRule>
  </conditionalFormatting>
  <conditionalFormatting sqref="H44:H45">
    <cfRule type="cellIs" dxfId="191" priority="109" operator="greaterThan">
      <formula>0</formula>
    </cfRule>
  </conditionalFormatting>
  <conditionalFormatting sqref="H46">
    <cfRule type="cellIs" dxfId="190" priority="102" operator="lessThan">
      <formula>0</formula>
    </cfRule>
  </conditionalFormatting>
  <conditionalFormatting sqref="H51">
    <cfRule type="containsErrors" dxfId="189" priority="100">
      <formula>ISERROR(H51)</formula>
    </cfRule>
  </conditionalFormatting>
  <conditionalFormatting sqref="H58">
    <cfRule type="cellIs" dxfId="188" priority="37" operator="lessThan">
      <formula>0</formula>
    </cfRule>
  </conditionalFormatting>
  <conditionalFormatting sqref="H60">
    <cfRule type="cellIs" dxfId="187" priority="35" operator="greaterThan">
      <formula>0.5%</formula>
    </cfRule>
    <cfRule type="cellIs" dxfId="186" priority="34" operator="lessThan">
      <formula>-1%</formula>
    </cfRule>
  </conditionalFormatting>
  <conditionalFormatting sqref="H61:H62">
    <cfRule type="cellIs" dxfId="185" priority="32" operator="greaterThan">
      <formula>0</formula>
    </cfRule>
  </conditionalFormatting>
  <conditionalFormatting sqref="H63">
    <cfRule type="cellIs" dxfId="184" priority="33" operator="lessThan">
      <formula>0</formula>
    </cfRule>
  </conditionalFormatting>
  <conditionalFormatting sqref="H68">
    <cfRule type="containsErrors" dxfId="183" priority="31">
      <formula>ISERROR(H68)</formula>
    </cfRule>
  </conditionalFormatting>
  <conditionalFormatting sqref="K9">
    <cfRule type="cellIs" dxfId="182" priority="351" operator="greaterThan">
      <formula>0.095</formula>
    </cfRule>
  </conditionalFormatting>
  <conditionalFormatting sqref="K26">
    <cfRule type="cellIs" dxfId="181" priority="195" operator="greaterThan">
      <formula>0.095</formula>
    </cfRule>
  </conditionalFormatting>
  <conditionalFormatting sqref="K43">
    <cfRule type="cellIs" dxfId="180" priority="91" operator="greaterThan">
      <formula>0.095</formula>
    </cfRule>
  </conditionalFormatting>
  <conditionalFormatting sqref="K60">
    <cfRule type="cellIs" dxfId="179" priority="22" operator="greaterThan">
      <formula>0.095</formula>
    </cfRule>
  </conditionalFormatting>
  <conditionalFormatting sqref="K7:M7">
    <cfRule type="containsErrors" dxfId="178" priority="352">
      <formula>ISERROR(K7)</formula>
    </cfRule>
  </conditionalFormatting>
  <conditionalFormatting sqref="K9:M9">
    <cfRule type="containsErrors" dxfId="177" priority="353">
      <formula>ISERROR(K9)</formula>
    </cfRule>
  </conditionalFormatting>
  <conditionalFormatting sqref="K14:M15 O14:Q15">
    <cfRule type="containsErrors" dxfId="176" priority="355">
      <formula>ISERROR(K14)</formula>
    </cfRule>
  </conditionalFormatting>
  <conditionalFormatting sqref="K15:M15">
    <cfRule type="containsErrors" dxfId="175" priority="345">
      <formula>ISERROR(K15)</formula>
    </cfRule>
    <cfRule type="containsErrors" dxfId="174" priority="346">
      <formula>ISERROR(K15)</formula>
    </cfRule>
  </conditionalFormatting>
  <conditionalFormatting sqref="K24:M24">
    <cfRule type="containsErrors" dxfId="173" priority="196">
      <formula>ISERROR(K24)</formula>
    </cfRule>
  </conditionalFormatting>
  <conditionalFormatting sqref="K26:M26">
    <cfRule type="containsErrors" dxfId="172" priority="197">
      <formula>ISERROR(K26)</formula>
    </cfRule>
  </conditionalFormatting>
  <conditionalFormatting sqref="K31:M32 O31:Q32">
    <cfRule type="containsErrors" dxfId="171" priority="199">
      <formula>ISERROR(K31)</formula>
    </cfRule>
  </conditionalFormatting>
  <conditionalFormatting sqref="K32:M32">
    <cfRule type="containsErrors" dxfId="170" priority="190">
      <formula>ISERROR(K32)</formula>
    </cfRule>
    <cfRule type="containsErrors" dxfId="169" priority="189">
      <formula>ISERROR(K32)</formula>
    </cfRule>
  </conditionalFormatting>
  <conditionalFormatting sqref="K41:M41">
    <cfRule type="containsErrors" dxfId="168" priority="92">
      <formula>ISERROR(K41)</formula>
    </cfRule>
  </conditionalFormatting>
  <conditionalFormatting sqref="K43:M43">
    <cfRule type="containsErrors" dxfId="167" priority="93">
      <formula>ISERROR(K43)</formula>
    </cfRule>
  </conditionalFormatting>
  <conditionalFormatting sqref="K48:M49 O48:Q49">
    <cfRule type="containsErrors" dxfId="166" priority="95">
      <formula>ISERROR(K48)</formula>
    </cfRule>
  </conditionalFormatting>
  <conditionalFormatting sqref="K49:M49">
    <cfRule type="containsErrors" dxfId="165" priority="86">
      <formula>ISERROR(K49)</formula>
    </cfRule>
    <cfRule type="containsErrors" dxfId="164" priority="85">
      <formula>ISERROR(K49)</formula>
    </cfRule>
  </conditionalFormatting>
  <conditionalFormatting sqref="K58:M58">
    <cfRule type="containsErrors" dxfId="163" priority="23">
      <formula>ISERROR(K58)</formula>
    </cfRule>
  </conditionalFormatting>
  <conditionalFormatting sqref="K60:M60">
    <cfRule type="containsErrors" dxfId="162" priority="24">
      <formula>ISERROR(K60)</formula>
    </cfRule>
  </conditionalFormatting>
  <conditionalFormatting sqref="K65:M66 O65:Q66">
    <cfRule type="containsErrors" dxfId="161" priority="26">
      <formula>ISERROR(K65)</formula>
    </cfRule>
  </conditionalFormatting>
  <conditionalFormatting sqref="K66:M66">
    <cfRule type="containsErrors" dxfId="160" priority="16">
      <formula>ISERROR(K66)</formula>
    </cfRule>
    <cfRule type="containsErrors" dxfId="159" priority="17">
      <formula>ISERROR(K66)</formula>
    </cfRule>
  </conditionalFormatting>
  <conditionalFormatting sqref="L8">
    <cfRule type="containsErrors" dxfId="158" priority="354">
      <formula>ISERROR(L8)</formula>
    </cfRule>
  </conditionalFormatting>
  <conditionalFormatting sqref="L25">
    <cfRule type="containsErrors" dxfId="157" priority="198">
      <formula>ISERROR(L25)</formula>
    </cfRule>
  </conditionalFormatting>
  <conditionalFormatting sqref="L42">
    <cfRule type="containsErrors" dxfId="156" priority="94">
      <formula>ISERROR(L42)</formula>
    </cfRule>
  </conditionalFormatting>
  <conditionalFormatting sqref="L59">
    <cfRule type="containsErrors" dxfId="155" priority="25">
      <formula>ISERROR(L59)</formula>
    </cfRule>
  </conditionalFormatting>
  <conditionalFormatting sqref="M9">
    <cfRule type="cellIs" dxfId="154" priority="350" operator="greaterThan">
      <formula>0.5%</formula>
    </cfRule>
  </conditionalFormatting>
  <conditionalFormatting sqref="M10:M11">
    <cfRule type="cellIs" dxfId="153" priority="348" operator="greaterThan">
      <formula>0</formula>
    </cfRule>
  </conditionalFormatting>
  <conditionalFormatting sqref="M12">
    <cfRule type="cellIs" dxfId="152" priority="349" operator="lessThan">
      <formula>0</formula>
    </cfRule>
  </conditionalFormatting>
  <conditionalFormatting sqref="M17">
    <cfRule type="containsErrors" dxfId="151" priority="347">
      <formula>ISERROR(M17)</formula>
    </cfRule>
  </conditionalFormatting>
  <conditionalFormatting sqref="M24">
    <cfRule type="cellIs" dxfId="150" priority="200" operator="lessThan">
      <formula>0</formula>
    </cfRule>
  </conditionalFormatting>
  <conditionalFormatting sqref="M26">
    <cfRule type="cellIs" dxfId="149" priority="192" operator="greaterThan">
      <formula>0.5%</formula>
    </cfRule>
    <cfRule type="cellIs" dxfId="148" priority="194" operator="lessThan">
      <formula>-1%</formula>
    </cfRule>
  </conditionalFormatting>
  <conditionalFormatting sqref="M27:M28">
    <cfRule type="cellIs" dxfId="147" priority="683" operator="greaterThan">
      <formula>0</formula>
    </cfRule>
  </conditionalFormatting>
  <conditionalFormatting sqref="M29">
    <cfRule type="cellIs" dxfId="146" priority="193" operator="lessThan">
      <formula>0</formula>
    </cfRule>
  </conditionalFormatting>
  <conditionalFormatting sqref="M34">
    <cfRule type="containsErrors" dxfId="145" priority="191">
      <formula>ISERROR(M34)</formula>
    </cfRule>
  </conditionalFormatting>
  <conditionalFormatting sqref="M41">
    <cfRule type="cellIs" dxfId="144" priority="96" operator="lessThan">
      <formula>0</formula>
    </cfRule>
  </conditionalFormatting>
  <conditionalFormatting sqref="M43">
    <cfRule type="cellIs" dxfId="143" priority="90" operator="lessThan">
      <formula>-1%</formula>
    </cfRule>
    <cfRule type="cellIs" dxfId="142" priority="88" operator="greaterThan">
      <formula>0.5%</formula>
    </cfRule>
  </conditionalFormatting>
  <conditionalFormatting sqref="M44:M45">
    <cfRule type="cellIs" dxfId="141" priority="97" operator="greaterThan">
      <formula>0</formula>
    </cfRule>
  </conditionalFormatting>
  <conditionalFormatting sqref="M46">
    <cfRule type="cellIs" dxfId="140" priority="89" operator="lessThan">
      <formula>0</formula>
    </cfRule>
  </conditionalFormatting>
  <conditionalFormatting sqref="M51">
    <cfRule type="containsErrors" dxfId="139" priority="87">
      <formula>ISERROR(M51)</formula>
    </cfRule>
  </conditionalFormatting>
  <conditionalFormatting sqref="M58">
    <cfRule type="cellIs" dxfId="138" priority="27" operator="lessThan">
      <formula>0</formula>
    </cfRule>
  </conditionalFormatting>
  <conditionalFormatting sqref="M60">
    <cfRule type="cellIs" dxfId="137" priority="21" operator="lessThan">
      <formula>-1%</formula>
    </cfRule>
    <cfRule type="cellIs" dxfId="136" priority="19" operator="greaterThan">
      <formula>0.5%</formula>
    </cfRule>
  </conditionalFormatting>
  <conditionalFormatting sqref="M61:M62">
    <cfRule type="cellIs" dxfId="135" priority="28" operator="greaterThan">
      <formula>0</formula>
    </cfRule>
  </conditionalFormatting>
  <conditionalFormatting sqref="M63">
    <cfRule type="cellIs" dxfId="134" priority="20" operator="lessThan">
      <formula>0</formula>
    </cfRule>
  </conditionalFormatting>
  <conditionalFormatting sqref="M68">
    <cfRule type="containsErrors" dxfId="133" priority="18">
      <formula>ISERROR(M68)</formula>
    </cfRule>
  </conditionalFormatting>
  <conditionalFormatting sqref="O9">
    <cfRule type="cellIs" dxfId="132" priority="341" operator="greaterThan">
      <formula>0.095</formula>
    </cfRule>
  </conditionalFormatting>
  <conditionalFormatting sqref="O26">
    <cfRule type="cellIs" dxfId="131" priority="172" operator="greaterThan">
      <formula>0.095</formula>
    </cfRule>
  </conditionalFormatting>
  <conditionalFormatting sqref="O43">
    <cfRule type="cellIs" dxfId="130" priority="80" operator="greaterThan">
      <formula>0.095</formula>
    </cfRule>
  </conditionalFormatting>
  <conditionalFormatting sqref="O60">
    <cfRule type="cellIs" dxfId="129" priority="11" operator="greaterThan">
      <formula>0.095</formula>
    </cfRule>
  </conditionalFormatting>
  <conditionalFormatting sqref="O7:Q7">
    <cfRule type="containsErrors" dxfId="128" priority="343">
      <formula>ISERROR(O7)</formula>
    </cfRule>
  </conditionalFormatting>
  <conditionalFormatting sqref="O9:Q9 P8">
    <cfRule type="containsErrors" dxfId="127" priority="344">
      <formula>ISERROR(O8)</formula>
    </cfRule>
  </conditionalFormatting>
  <conditionalFormatting sqref="O15:Q15">
    <cfRule type="containsErrors" dxfId="126" priority="335">
      <formula>ISERROR(O15)</formula>
    </cfRule>
    <cfRule type="containsErrors" dxfId="125" priority="334">
      <formula>ISERROR(O15)</formula>
    </cfRule>
  </conditionalFormatting>
  <conditionalFormatting sqref="O24:Q24">
    <cfRule type="containsErrors" dxfId="124" priority="173">
      <formula>ISERROR(O24)</formula>
    </cfRule>
  </conditionalFormatting>
  <conditionalFormatting sqref="O26:Q26">
    <cfRule type="containsErrors" dxfId="123" priority="174">
      <formula>ISERROR(O26)</formula>
    </cfRule>
  </conditionalFormatting>
  <conditionalFormatting sqref="O32:Q32">
    <cfRule type="containsErrors" dxfId="122" priority="166">
      <formula>ISERROR(O32)</formula>
    </cfRule>
    <cfRule type="containsErrors" dxfId="121" priority="167">
      <formula>ISERROR(O32)</formula>
    </cfRule>
  </conditionalFormatting>
  <conditionalFormatting sqref="O41:Q41">
    <cfRule type="containsErrors" dxfId="120" priority="81">
      <formula>ISERROR(O41)</formula>
    </cfRule>
  </conditionalFormatting>
  <conditionalFormatting sqref="O43:Q43">
    <cfRule type="containsErrors" dxfId="119" priority="82">
      <formula>ISERROR(O43)</formula>
    </cfRule>
  </conditionalFormatting>
  <conditionalFormatting sqref="O49:Q49">
    <cfRule type="containsErrors" dxfId="118" priority="74">
      <formula>ISERROR(O49)</formula>
    </cfRule>
    <cfRule type="containsErrors" dxfId="117" priority="75">
      <formula>ISERROR(O49)</formula>
    </cfRule>
  </conditionalFormatting>
  <conditionalFormatting sqref="O58:Q58">
    <cfRule type="containsErrors" dxfId="116" priority="12">
      <formula>ISERROR(O58)</formula>
    </cfRule>
  </conditionalFormatting>
  <conditionalFormatting sqref="O60:Q60">
    <cfRule type="containsErrors" dxfId="115" priority="13">
      <formula>ISERROR(O60)</formula>
    </cfRule>
  </conditionalFormatting>
  <conditionalFormatting sqref="O66:Q66">
    <cfRule type="containsErrors" dxfId="114" priority="6">
      <formula>ISERROR(O66)</formula>
    </cfRule>
    <cfRule type="containsErrors" dxfId="113" priority="5">
      <formula>ISERROR(O66)</formula>
    </cfRule>
  </conditionalFormatting>
  <conditionalFormatting sqref="P25">
    <cfRule type="containsErrors" dxfId="112" priority="175">
      <formula>ISERROR(P25)</formula>
    </cfRule>
  </conditionalFormatting>
  <conditionalFormatting sqref="P42">
    <cfRule type="containsErrors" dxfId="111" priority="83">
      <formula>ISERROR(P42)</formula>
    </cfRule>
  </conditionalFormatting>
  <conditionalFormatting sqref="P59">
    <cfRule type="containsErrors" dxfId="110" priority="14">
      <formula>ISERROR(P59)</formula>
    </cfRule>
  </conditionalFormatting>
  <conditionalFormatting sqref="Q7">
    <cfRule type="cellIs" dxfId="109" priority="342" operator="lessThan">
      <formula>0</formula>
    </cfRule>
  </conditionalFormatting>
  <conditionalFormatting sqref="Q9">
    <cfRule type="cellIs" dxfId="108" priority="340" operator="greaterThan">
      <formula>0.5%</formula>
    </cfRule>
    <cfRule type="cellIs" dxfId="107" priority="339" operator="lessThan">
      <formula>-1%</formula>
    </cfRule>
  </conditionalFormatting>
  <conditionalFormatting sqref="Q10:Q11">
    <cfRule type="cellIs" dxfId="106" priority="337" operator="greaterThan">
      <formula>0</formula>
    </cfRule>
  </conditionalFormatting>
  <conditionalFormatting sqref="Q12">
    <cfRule type="cellIs" dxfId="105" priority="338" operator="lessThan">
      <formula>0</formula>
    </cfRule>
  </conditionalFormatting>
  <conditionalFormatting sqref="Q17">
    <cfRule type="containsErrors" dxfId="104" priority="336">
      <formula>ISERROR(Q17)</formula>
    </cfRule>
  </conditionalFormatting>
  <conditionalFormatting sqref="Q24">
    <cfRule type="cellIs" dxfId="103" priority="176" operator="lessThan">
      <formula>0</formula>
    </cfRule>
  </conditionalFormatting>
  <conditionalFormatting sqref="Q26">
    <cfRule type="cellIs" dxfId="102" priority="169" operator="greaterThan">
      <formula>0.5%</formula>
    </cfRule>
    <cfRule type="cellIs" dxfId="101" priority="171" operator="lessThan">
      <formula>-1%</formula>
    </cfRule>
  </conditionalFormatting>
  <conditionalFormatting sqref="Q29">
    <cfRule type="cellIs" dxfId="100" priority="170" operator="lessThan">
      <formula>0</formula>
    </cfRule>
  </conditionalFormatting>
  <conditionalFormatting sqref="Q34">
    <cfRule type="containsErrors" dxfId="99" priority="168">
      <formula>ISERROR(Q34)</formula>
    </cfRule>
  </conditionalFormatting>
  <conditionalFormatting sqref="Q41">
    <cfRule type="cellIs" dxfId="98" priority="84" operator="lessThan">
      <formula>0</formula>
    </cfRule>
  </conditionalFormatting>
  <conditionalFormatting sqref="Q43">
    <cfRule type="cellIs" dxfId="97" priority="77" operator="greaterThan">
      <formula>0.5%</formula>
    </cfRule>
    <cfRule type="cellIs" dxfId="96" priority="79" operator="lessThan">
      <formula>-1%</formula>
    </cfRule>
  </conditionalFormatting>
  <conditionalFormatting sqref="Q46">
    <cfRule type="cellIs" dxfId="95" priority="78" operator="lessThan">
      <formula>0</formula>
    </cfRule>
  </conditionalFormatting>
  <conditionalFormatting sqref="Q51">
    <cfRule type="containsErrors" dxfId="94" priority="76">
      <formula>ISERROR(Q51)</formula>
    </cfRule>
  </conditionalFormatting>
  <conditionalFormatting sqref="Q58">
    <cfRule type="cellIs" dxfId="93" priority="15" operator="lessThan">
      <formula>0</formula>
    </cfRule>
  </conditionalFormatting>
  <conditionalFormatting sqref="Q60">
    <cfRule type="cellIs" dxfId="92" priority="8" operator="greaterThan">
      <formula>0.5%</formula>
    </cfRule>
    <cfRule type="cellIs" dxfId="91" priority="10" operator="lessThan">
      <formula>-1%</formula>
    </cfRule>
  </conditionalFormatting>
  <conditionalFormatting sqref="Q63">
    <cfRule type="cellIs" dxfId="90" priority="9" operator="lessThan">
      <formula>0</formula>
    </cfRule>
  </conditionalFormatting>
  <conditionalFormatting sqref="Q68">
    <cfRule type="containsErrors" dxfId="89" priority="7">
      <formula>ISERROR(Q68)</formula>
    </cfRule>
  </conditionalFormatting>
  <conditionalFormatting sqref="S36">
    <cfRule type="cellIs" dxfId="88" priority="483" operator="equal">
      <formula>0</formula>
    </cfRule>
  </conditionalFormatting>
  <conditionalFormatting sqref="S53">
    <cfRule type="cellIs" dxfId="87" priority="407" operator="equal">
      <formula>0</formula>
    </cfRule>
  </conditionalFormatting>
  <conditionalFormatting sqref="T9">
    <cfRule type="cellIs" dxfId="86" priority="327" operator="greaterThan">
      <formula>0.095</formula>
    </cfRule>
  </conditionalFormatting>
  <conditionalFormatting sqref="T26">
    <cfRule type="cellIs" dxfId="85" priority="161" operator="greaterThan">
      <formula>0.095</formula>
    </cfRule>
  </conditionalFormatting>
  <conditionalFormatting sqref="T43">
    <cfRule type="cellIs" dxfId="84" priority="69" operator="greaterThan">
      <formula>0.095</formula>
    </cfRule>
  </conditionalFormatting>
  <conditionalFormatting sqref="T60">
    <cfRule type="cellIs" dxfId="83" priority="403" operator="greaterThan">
      <formula>0.095</formula>
    </cfRule>
  </conditionalFormatting>
  <conditionalFormatting sqref="T7:V7">
    <cfRule type="containsErrors" dxfId="82" priority="328">
      <formula>ISERROR(T7)</formula>
    </cfRule>
  </conditionalFormatting>
  <conditionalFormatting sqref="T9:V9">
    <cfRule type="containsErrors" dxfId="81" priority="329">
      <formula>ISERROR(T9)</formula>
    </cfRule>
  </conditionalFormatting>
  <conditionalFormatting sqref="T14:V15 X14:Z15">
    <cfRule type="containsErrors" dxfId="80" priority="331">
      <formula>ISERROR(T14)</formula>
    </cfRule>
  </conditionalFormatting>
  <conditionalFormatting sqref="T15:V15">
    <cfRule type="containsErrors" dxfId="79" priority="321">
      <formula>ISERROR(T15)</formula>
    </cfRule>
    <cfRule type="containsErrors" dxfId="78" priority="322">
      <formula>ISERROR(T15)</formula>
    </cfRule>
  </conditionalFormatting>
  <conditionalFormatting sqref="T24:V24">
    <cfRule type="containsErrors" dxfId="77" priority="162">
      <formula>ISERROR(T24)</formula>
    </cfRule>
  </conditionalFormatting>
  <conditionalFormatting sqref="T26:V26">
    <cfRule type="containsErrors" dxfId="76" priority="163">
      <formula>ISERROR(T26)</formula>
    </cfRule>
  </conditionalFormatting>
  <conditionalFormatting sqref="T31:V32 X31:Z32">
    <cfRule type="containsErrors" dxfId="75" priority="165">
      <formula>ISERROR(T31)</formula>
    </cfRule>
  </conditionalFormatting>
  <conditionalFormatting sqref="T32:V32">
    <cfRule type="containsErrors" dxfId="74" priority="156">
      <formula>ISERROR(T32)</formula>
    </cfRule>
    <cfRule type="containsErrors" dxfId="73" priority="155">
      <formula>ISERROR(T32)</formula>
    </cfRule>
  </conditionalFormatting>
  <conditionalFormatting sqref="T41:V41">
    <cfRule type="containsErrors" dxfId="72" priority="70">
      <formula>ISERROR(T41)</formula>
    </cfRule>
  </conditionalFormatting>
  <conditionalFormatting sqref="T43:V43">
    <cfRule type="containsErrors" dxfId="71" priority="71">
      <formula>ISERROR(T43)</formula>
    </cfRule>
  </conditionalFormatting>
  <conditionalFormatting sqref="T48:V49 X48:Z49">
    <cfRule type="containsErrors" dxfId="70" priority="73">
      <formula>ISERROR(T48)</formula>
    </cfRule>
  </conditionalFormatting>
  <conditionalFormatting sqref="T49:V49">
    <cfRule type="containsErrors" dxfId="69" priority="64">
      <formula>ISERROR(T49)</formula>
    </cfRule>
    <cfRule type="containsErrors" dxfId="68" priority="63">
      <formula>ISERROR(T49)</formula>
    </cfRule>
  </conditionalFormatting>
  <conditionalFormatting sqref="T60:V60 T58:V58 U59">
    <cfRule type="containsErrors" dxfId="67" priority="404">
      <formula>ISERROR(T58)</formula>
    </cfRule>
  </conditionalFormatting>
  <conditionalFormatting sqref="T65:V66 X65:Z66">
    <cfRule type="containsErrors" dxfId="66" priority="408">
      <formula>ISERROR(T65)</formula>
    </cfRule>
  </conditionalFormatting>
  <conditionalFormatting sqref="T66:V66">
    <cfRule type="containsErrors" dxfId="65" priority="395">
      <formula>ISERROR(T66)</formula>
    </cfRule>
    <cfRule type="containsErrors" dxfId="64" priority="396">
      <formula>ISERROR(T66)</formula>
    </cfRule>
  </conditionalFormatting>
  <conditionalFormatting sqref="U8">
    <cfRule type="containsErrors" dxfId="63" priority="330">
      <formula>ISERROR(U8)</formula>
    </cfRule>
  </conditionalFormatting>
  <conditionalFormatting sqref="U25">
    <cfRule type="containsErrors" dxfId="62" priority="164">
      <formula>ISERROR(U25)</formula>
    </cfRule>
  </conditionalFormatting>
  <conditionalFormatting sqref="U42">
    <cfRule type="containsErrors" dxfId="61" priority="72">
      <formula>ISERROR(U42)</formula>
    </cfRule>
  </conditionalFormatting>
  <conditionalFormatting sqref="V7">
    <cfRule type="cellIs" dxfId="60" priority="326" operator="lessThan">
      <formula>0</formula>
    </cfRule>
  </conditionalFormatting>
  <conditionalFormatting sqref="V9">
    <cfRule type="cellIs" dxfId="59" priority="324" operator="lessThan">
      <formula>-1%</formula>
    </cfRule>
    <cfRule type="cellIs" dxfId="58" priority="681" operator="greaterThan">
      <formula>0.5%</formula>
    </cfRule>
  </conditionalFormatting>
  <conditionalFormatting sqref="V10:V11">
    <cfRule type="cellIs" dxfId="57" priority="682" operator="greaterThan">
      <formula>0</formula>
    </cfRule>
  </conditionalFormatting>
  <conditionalFormatting sqref="V12">
    <cfRule type="cellIs" dxfId="56" priority="325" operator="lessThan">
      <formula>0</formula>
    </cfRule>
  </conditionalFormatting>
  <conditionalFormatting sqref="V17">
    <cfRule type="containsErrors" dxfId="55" priority="323">
      <formula>ISERROR(V17)</formula>
    </cfRule>
  </conditionalFormatting>
  <conditionalFormatting sqref="V26">
    <cfRule type="cellIs" dxfId="54" priority="160" operator="greaterThan">
      <formula>0.5%</formula>
    </cfRule>
  </conditionalFormatting>
  <conditionalFormatting sqref="V27:V28">
    <cfRule type="cellIs" dxfId="53" priority="158" operator="greaterThan">
      <formula>0</formula>
    </cfRule>
  </conditionalFormatting>
  <conditionalFormatting sqref="V29">
    <cfRule type="cellIs" dxfId="52" priority="159" operator="lessThan">
      <formula>0</formula>
    </cfRule>
  </conditionalFormatting>
  <conditionalFormatting sqref="V34">
    <cfRule type="containsErrors" dxfId="51" priority="157">
      <formula>ISERROR(V34)</formula>
    </cfRule>
  </conditionalFormatting>
  <conditionalFormatting sqref="V43">
    <cfRule type="cellIs" dxfId="50" priority="68" operator="greaterThan">
      <formula>0.5%</formula>
    </cfRule>
  </conditionalFormatting>
  <conditionalFormatting sqref="V44:V45">
    <cfRule type="cellIs" dxfId="49" priority="66" operator="greaterThan">
      <formula>0</formula>
    </cfRule>
  </conditionalFormatting>
  <conditionalFormatting sqref="V46">
    <cfRule type="cellIs" dxfId="48" priority="67" operator="lessThan">
      <formula>0</formula>
    </cfRule>
  </conditionalFormatting>
  <conditionalFormatting sqref="V51">
    <cfRule type="containsErrors" dxfId="47" priority="65">
      <formula>ISERROR(V51)</formula>
    </cfRule>
  </conditionalFormatting>
  <conditionalFormatting sqref="V58">
    <cfRule type="cellIs" dxfId="46" priority="400" operator="lessThan">
      <formula>0</formula>
    </cfRule>
  </conditionalFormatting>
  <conditionalFormatting sqref="V60">
    <cfRule type="cellIs" dxfId="45" priority="402" operator="greaterThan">
      <formula>0.5%</formula>
    </cfRule>
    <cfRule type="cellIs" dxfId="44" priority="401" operator="lessThan">
      <formula>-1%</formula>
    </cfRule>
  </conditionalFormatting>
  <conditionalFormatting sqref="V61:V62">
    <cfRule type="cellIs" dxfId="43" priority="398" operator="greaterThan">
      <formula>0</formula>
    </cfRule>
  </conditionalFormatting>
  <conditionalFormatting sqref="V63">
    <cfRule type="cellIs" dxfId="42" priority="399" operator="lessThan">
      <formula>0</formula>
    </cfRule>
  </conditionalFormatting>
  <conditionalFormatting sqref="V68">
    <cfRule type="containsErrors" dxfId="41" priority="397">
      <formula>ISERROR(V68)</formula>
    </cfRule>
  </conditionalFormatting>
  <conditionalFormatting sqref="X9">
    <cfRule type="cellIs" dxfId="40" priority="304" operator="greaterThan">
      <formula>0.095</formula>
    </cfRule>
  </conditionalFormatting>
  <conditionalFormatting sqref="X26">
    <cfRule type="cellIs" dxfId="39" priority="140" operator="greaterThan">
      <formula>0.095</formula>
    </cfRule>
  </conditionalFormatting>
  <conditionalFormatting sqref="X43">
    <cfRule type="cellIs" dxfId="38" priority="59" operator="greaterThan">
      <formula>0.095</formula>
    </cfRule>
  </conditionalFormatting>
  <conditionalFormatting sqref="X60">
    <cfRule type="cellIs" dxfId="37" priority="391" operator="greaterThan">
      <formula>0.095</formula>
    </cfRule>
  </conditionalFormatting>
  <conditionalFormatting sqref="X7:Z7">
    <cfRule type="containsErrors" dxfId="36" priority="305">
      <formula>ISERROR(X7)</formula>
    </cfRule>
  </conditionalFormatting>
  <conditionalFormatting sqref="X9:Z9">
    <cfRule type="containsErrors" dxfId="35" priority="306">
      <formula>ISERROR(X9)</formula>
    </cfRule>
  </conditionalFormatting>
  <conditionalFormatting sqref="X15:Z15">
    <cfRule type="containsErrors" dxfId="34" priority="299">
      <formula>ISERROR(X15)</formula>
    </cfRule>
    <cfRule type="containsErrors" dxfId="33" priority="298">
      <formula>ISERROR(X15)</formula>
    </cfRule>
  </conditionalFormatting>
  <conditionalFormatting sqref="X24:Z24">
    <cfRule type="containsErrors" dxfId="32" priority="141">
      <formula>ISERROR(X24)</formula>
    </cfRule>
  </conditionalFormatting>
  <conditionalFormatting sqref="X26:Z26">
    <cfRule type="containsErrors" dxfId="31" priority="142">
      <formula>ISERROR(X26)</formula>
    </cfRule>
  </conditionalFormatting>
  <conditionalFormatting sqref="X32:Z32">
    <cfRule type="containsErrors" dxfId="30" priority="134">
      <formula>ISERROR(X32)</formula>
    </cfRule>
    <cfRule type="containsErrors" dxfId="29" priority="135">
      <formula>ISERROR(X32)</formula>
    </cfRule>
  </conditionalFormatting>
  <conditionalFormatting sqref="X41:Z41">
    <cfRule type="containsErrors" dxfId="28" priority="61">
      <formula>ISERROR(X41)</formula>
    </cfRule>
  </conditionalFormatting>
  <conditionalFormatting sqref="X43:Z43 Y42">
    <cfRule type="containsErrors" dxfId="27" priority="62">
      <formula>ISERROR(X42)</formula>
    </cfRule>
  </conditionalFormatting>
  <conditionalFormatting sqref="X49:Z49">
    <cfRule type="containsErrors" dxfId="26" priority="53">
      <formula>ISERROR(X49)</formula>
    </cfRule>
    <cfRule type="containsErrors" dxfId="25" priority="52">
      <formula>ISERROR(X49)</formula>
    </cfRule>
  </conditionalFormatting>
  <conditionalFormatting sqref="X60:Z60 X58:Z58 Y59">
    <cfRule type="containsErrors" dxfId="24" priority="392">
      <formula>ISERROR(X58)</formula>
    </cfRule>
  </conditionalFormatting>
  <conditionalFormatting sqref="X66:Z66">
    <cfRule type="containsErrors" dxfId="23" priority="384">
      <formula>ISERROR(X66)</formula>
    </cfRule>
    <cfRule type="containsErrors" dxfId="22" priority="383">
      <formula>ISERROR(X66)</formula>
    </cfRule>
  </conditionalFormatting>
  <conditionalFormatting sqref="Y8">
    <cfRule type="containsErrors" dxfId="21" priority="307">
      <formula>ISERROR(Y8)</formula>
    </cfRule>
  </conditionalFormatting>
  <conditionalFormatting sqref="Y25">
    <cfRule type="containsErrors" dxfId="20" priority="143">
      <formula>ISERROR(Y25)</formula>
    </cfRule>
  </conditionalFormatting>
  <conditionalFormatting sqref="Z7">
    <cfRule type="cellIs" dxfId="19" priority="303" operator="lessThan">
      <formula>0</formula>
    </cfRule>
  </conditionalFormatting>
  <conditionalFormatting sqref="Z9">
    <cfRule type="cellIs" dxfId="18" priority="301" operator="lessThan">
      <formula>-1%</formula>
    </cfRule>
  </conditionalFormatting>
  <conditionalFormatting sqref="Z12">
    <cfRule type="cellIs" dxfId="17" priority="302" operator="lessThan">
      <formula>0</formula>
    </cfRule>
  </conditionalFormatting>
  <conditionalFormatting sqref="Z17">
    <cfRule type="containsErrors" dxfId="16" priority="300">
      <formula>ISERROR(Z17)</formula>
    </cfRule>
  </conditionalFormatting>
  <conditionalFormatting sqref="Z26">
    <cfRule type="cellIs" dxfId="15" priority="139" operator="greaterThan">
      <formula>0.5%</formula>
    </cfRule>
  </conditionalFormatting>
  <conditionalFormatting sqref="Z27:Z28">
    <cfRule type="cellIs" dxfId="14" priority="137" operator="greaterThan">
      <formula>0</formula>
    </cfRule>
  </conditionalFormatting>
  <conditionalFormatting sqref="Z29">
    <cfRule type="cellIs" dxfId="13" priority="138" operator="lessThan">
      <formula>0</formula>
    </cfRule>
  </conditionalFormatting>
  <conditionalFormatting sqref="Z34">
    <cfRule type="containsErrors" dxfId="12" priority="136">
      <formula>ISERROR(Z34)</formula>
    </cfRule>
  </conditionalFormatting>
  <conditionalFormatting sqref="Z41">
    <cfRule type="cellIs" dxfId="11" priority="60" operator="lessThan">
      <formula>0</formula>
    </cfRule>
  </conditionalFormatting>
  <conditionalFormatting sqref="Z43">
    <cfRule type="cellIs" dxfId="10" priority="57" operator="lessThan">
      <formula>-1%</formula>
    </cfRule>
    <cfRule type="cellIs" dxfId="9" priority="58" operator="greaterThan">
      <formula>0.5%</formula>
    </cfRule>
  </conditionalFormatting>
  <conditionalFormatting sqref="Z44:Z45">
    <cfRule type="cellIs" dxfId="8" priority="55" operator="greaterThan">
      <formula>0</formula>
    </cfRule>
  </conditionalFormatting>
  <conditionalFormatting sqref="Z46">
    <cfRule type="cellIs" dxfId="7" priority="56" operator="lessThan">
      <formula>0</formula>
    </cfRule>
  </conditionalFormatting>
  <conditionalFormatting sqref="Z51">
    <cfRule type="containsErrors" dxfId="6" priority="54">
      <formula>ISERROR(Z51)</formula>
    </cfRule>
  </conditionalFormatting>
  <conditionalFormatting sqref="Z58">
    <cfRule type="cellIs" dxfId="5" priority="388" operator="lessThan">
      <formula>0</formula>
    </cfRule>
  </conditionalFormatting>
  <conditionalFormatting sqref="Z60">
    <cfRule type="cellIs" dxfId="4" priority="389" operator="lessThan">
      <formula>-1%</formula>
    </cfRule>
    <cfRule type="cellIs" dxfId="3" priority="390" operator="greaterThan">
      <formula>0.5%</formula>
    </cfRule>
  </conditionalFormatting>
  <conditionalFormatting sqref="Z61:Z62">
    <cfRule type="cellIs" dxfId="2" priority="386" operator="greaterThan">
      <formula>0</formula>
    </cfRule>
  </conditionalFormatting>
  <conditionalFormatting sqref="Z63">
    <cfRule type="cellIs" dxfId="1" priority="387" operator="lessThan">
      <formula>0</formula>
    </cfRule>
  </conditionalFormatting>
  <conditionalFormatting sqref="Z68">
    <cfRule type="containsErrors" dxfId="0" priority="385">
      <formula>ISERROR(Z68)</formula>
    </cfRule>
  </conditionalFormatting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A6171A-E48D-449B-AF7D-35AABD05047D}">
  <dimension ref="B2:U14"/>
  <sheetViews>
    <sheetView workbookViewId="0">
      <selection activeCell="B7" sqref="B7"/>
    </sheetView>
  </sheetViews>
  <sheetFormatPr defaultRowHeight="14.4" x14ac:dyDescent="0.3"/>
  <cols>
    <col min="5" max="5" width="10.6640625" bestFit="1" customWidth="1"/>
    <col min="6" max="6" width="9.33203125" bestFit="1" customWidth="1"/>
    <col min="8" max="8" width="12.33203125" bestFit="1" customWidth="1"/>
    <col min="13" max="13" width="10.88671875" bestFit="1" customWidth="1"/>
    <col min="14" max="14" width="12.44140625" bestFit="1" customWidth="1"/>
  </cols>
  <sheetData>
    <row r="2" spans="2:21" x14ac:dyDescent="0.3">
      <c r="B2" s="371"/>
      <c r="C2" s="371" t="s">
        <v>292</v>
      </c>
      <c r="D2" s="371" t="s">
        <v>293</v>
      </c>
      <c r="E2" s="371" t="s">
        <v>228</v>
      </c>
      <c r="F2" s="438" t="s">
        <v>294</v>
      </c>
      <c r="G2" s="438" t="s">
        <v>295</v>
      </c>
      <c r="H2" s="438" t="s">
        <v>234</v>
      </c>
      <c r="I2" s="438" t="s">
        <v>296</v>
      </c>
      <c r="J2" s="438" t="s">
        <v>244</v>
      </c>
      <c r="K2" s="438" t="s">
        <v>297</v>
      </c>
      <c r="L2" s="438" t="s">
        <v>298</v>
      </c>
      <c r="M2" s="438" t="s">
        <v>299</v>
      </c>
      <c r="N2" s="438" t="s">
        <v>300</v>
      </c>
      <c r="O2" s="438"/>
      <c r="P2" s="371"/>
      <c r="Q2" s="371"/>
      <c r="R2" s="371"/>
      <c r="S2" s="371"/>
      <c r="T2" s="371"/>
      <c r="U2" s="371"/>
    </row>
    <row r="3" spans="2:21" x14ac:dyDescent="0.3">
      <c r="B3" s="371" t="s">
        <v>284</v>
      </c>
      <c r="C3" s="439" t="e">
        <f>BSV!P4</f>
        <v>#DIV/0!</v>
      </c>
      <c r="D3" s="439">
        <f>VSC!$D$36</f>
        <v>0</v>
      </c>
      <c r="E3" s="440">
        <f>'Gestão de Turno'!B5+'Gestão de Turno'!F5</f>
        <v>0</v>
      </c>
      <c r="F3" s="440">
        <f>'Gestão de Turno'!D5+'Gestão de Turno'!H5</f>
        <v>0</v>
      </c>
      <c r="G3" s="441">
        <f>'Gestão de Turno'!B8+'Gestão de Turno'!F8</f>
        <v>0</v>
      </c>
      <c r="H3" s="442" t="e">
        <f>E3/G3</f>
        <v>#DIV/0!</v>
      </c>
      <c r="I3" s="443" t="e">
        <f>(G3*6.7)/E3</f>
        <v>#DIV/0!</v>
      </c>
      <c r="J3" s="444" t="e">
        <f>('Gestão de Turno'!B10+'Gestão de Turno'!F10)/E3</f>
        <v>#DIV/0!</v>
      </c>
      <c r="K3" s="442">
        <f t="shared" ref="K3:K13" si="0">R3</f>
        <v>0</v>
      </c>
      <c r="L3" s="442">
        <f t="shared" ref="L3:L13" si="1">T3</f>
        <v>0</v>
      </c>
      <c r="M3" s="445">
        <f>'Gestão de Turno'!B17</f>
        <v>0</v>
      </c>
      <c r="N3" s="440" t="e">
        <f>('Gestão de Turno'!C17+'Gestão de Turno'!G17)/('Gestão de Turno'!B17+'Gestão de Turno'!F17)</f>
        <v>#DIV/0!</v>
      </c>
      <c r="O3" s="371"/>
      <c r="P3" s="371"/>
      <c r="Q3" s="371"/>
      <c r="R3" s="371" cm="1">
        <f t="array" ref="R3:S3">('Gestão de Turno'!B12:C12+'Gestão de Turno'!F12:G12)/2</f>
        <v>0</v>
      </c>
      <c r="S3" s="371">
        <v>0</v>
      </c>
      <c r="T3" s="371" cm="1">
        <f t="array" ref="T3:U3">('Gestão de Turno'!B13:C13+'Gestão de Turno'!F13:G13)/2</f>
        <v>0</v>
      </c>
      <c r="U3" s="371">
        <v>0</v>
      </c>
    </row>
    <row r="4" spans="2:21" x14ac:dyDescent="0.3">
      <c r="B4" s="371" t="s">
        <v>285</v>
      </c>
      <c r="C4" s="439" t="e">
        <f>BSV!P5</f>
        <v>#DIV/0!</v>
      </c>
      <c r="D4" s="439">
        <f>VSC!$D$36</f>
        <v>0</v>
      </c>
      <c r="E4" s="440">
        <f>'Gestão de Turno'!K5+'Gestão de Turno'!O5</f>
        <v>0</v>
      </c>
      <c r="F4" s="440">
        <f>'Gestão de Turno'!M5+'Gestão de Turno'!Q5</f>
        <v>0</v>
      </c>
      <c r="G4" s="442">
        <f>'Gestão de Turno'!K8+'Gestão de Turno'!O8</f>
        <v>0</v>
      </c>
      <c r="H4" s="442" t="e">
        <f t="shared" ref="H4:H13" si="2">E4/G4</f>
        <v>#DIV/0!</v>
      </c>
      <c r="I4" s="443" t="e">
        <f t="shared" ref="I4:I13" si="3">(G4*6.7)/E4</f>
        <v>#DIV/0!</v>
      </c>
      <c r="J4" s="444" t="e">
        <f>('Gestão de Turno'!K10+'Gestão de Turno'!O10)/E4</f>
        <v>#DIV/0!</v>
      </c>
      <c r="K4" s="442">
        <f t="shared" si="0"/>
        <v>0</v>
      </c>
      <c r="L4" s="442">
        <f t="shared" si="1"/>
        <v>0</v>
      </c>
      <c r="M4" s="445">
        <f>'Gestão de Turno'!K17</f>
        <v>0</v>
      </c>
      <c r="N4" s="440" t="e">
        <f>('Gestão de Turno'!L17+'Gestão de Turno'!O17)/('Gestão de Turno'!K17+'Gestão de Turno'!O17)</f>
        <v>#DIV/0!</v>
      </c>
      <c r="O4" s="371"/>
      <c r="P4" s="371"/>
      <c r="Q4" s="371"/>
      <c r="R4" s="371" cm="1">
        <f t="array" ref="R4:S4">('Gestão de Turno'!K12:L12+'Gestão de Turno'!O12:P12)/2</f>
        <v>0</v>
      </c>
      <c r="S4" s="371">
        <v>0</v>
      </c>
      <c r="T4" s="371" cm="1">
        <f t="array" ref="T4:U4">('Gestão de Turno'!K13:L13+'Gestão de Turno'!O13:P13)/2</f>
        <v>0</v>
      </c>
      <c r="U4" s="371">
        <v>0</v>
      </c>
    </row>
    <row r="5" spans="2:21" x14ac:dyDescent="0.3">
      <c r="B5" s="371" t="s">
        <v>286</v>
      </c>
      <c r="C5" s="439" t="e">
        <f>BSV!P6</f>
        <v>#DIV/0!</v>
      </c>
      <c r="D5" s="439">
        <f>VSC!$D$36</f>
        <v>0</v>
      </c>
      <c r="E5" s="440">
        <f>'Gestão de Turno'!T5+'Gestão de Turno'!X5</f>
        <v>0</v>
      </c>
      <c r="F5" s="446">
        <f>'Gestão de Turno'!V5+'Gestão de Turno'!Z5</f>
        <v>0</v>
      </c>
      <c r="G5" s="442">
        <f>'Gestão de Turno'!T8+'Gestão de Turno'!X8</f>
        <v>0</v>
      </c>
      <c r="H5" s="442" t="e">
        <f t="shared" si="2"/>
        <v>#DIV/0!</v>
      </c>
      <c r="I5" s="443" t="e">
        <f t="shared" si="3"/>
        <v>#DIV/0!</v>
      </c>
      <c r="J5" s="444" t="e">
        <f>('Gestão de Turno'!T10+'Gestão de Turno'!X10)/E5</f>
        <v>#DIV/0!</v>
      </c>
      <c r="K5" s="442">
        <f t="shared" si="0"/>
        <v>0</v>
      </c>
      <c r="L5" s="442">
        <f t="shared" si="1"/>
        <v>0</v>
      </c>
      <c r="M5" s="445">
        <f>'Gestão de Turno'!T17+'Gestão de Turno'!X17</f>
        <v>0</v>
      </c>
      <c r="N5" s="440" t="e">
        <f>('Gestão de Turno'!U17+'Gestão de Turno'!Y17)/('Gestão de Turno'!T17+'Gestão de Turno'!X17)</f>
        <v>#DIV/0!</v>
      </c>
      <c r="O5" s="371"/>
      <c r="P5" s="371"/>
      <c r="Q5" s="371"/>
      <c r="R5" s="371" cm="1">
        <f t="array" ref="R5:S5">('Gestão de Turno'!T12:U12+'Gestão de Turno'!X12:Y12)/2</f>
        <v>0</v>
      </c>
      <c r="S5" s="371">
        <v>0</v>
      </c>
      <c r="T5" s="371" cm="1">
        <f t="array" ref="T5:U5">('Gestão de Turno'!T13:U13+'Gestão de Turno'!X13:Y13)/2</f>
        <v>0</v>
      </c>
      <c r="U5" s="371">
        <v>0</v>
      </c>
    </row>
    <row r="6" spans="2:21" x14ac:dyDescent="0.3">
      <c r="B6" s="371" t="s">
        <v>287</v>
      </c>
      <c r="C6" s="439" t="e">
        <f>BSV!P7</f>
        <v>#DIV/0!</v>
      </c>
      <c r="D6" s="439">
        <f>VSC!$D$36</f>
        <v>0</v>
      </c>
      <c r="E6" s="440">
        <f>'Gestão de Turno'!B22+'Gestão de Turno'!F22</f>
        <v>0</v>
      </c>
      <c r="F6" s="440">
        <f>'Gestão de Turno'!D22+'Gestão de Turno'!H22</f>
        <v>0</v>
      </c>
      <c r="G6" s="441">
        <f>'Gestão de Turno'!B25+'Gestão de Turno'!F25</f>
        <v>0</v>
      </c>
      <c r="H6" s="442" t="e">
        <f t="shared" si="2"/>
        <v>#DIV/0!</v>
      </c>
      <c r="I6" s="443" t="e">
        <f t="shared" si="3"/>
        <v>#DIV/0!</v>
      </c>
      <c r="J6" s="444" t="e">
        <f>('Gestão de Turno'!B27+'Gestão de Turno'!F27)/E6</f>
        <v>#DIV/0!</v>
      </c>
      <c r="K6" s="442">
        <f t="shared" si="0"/>
        <v>0</v>
      </c>
      <c r="L6" s="442">
        <f t="shared" si="1"/>
        <v>0</v>
      </c>
      <c r="M6" s="445">
        <f>'Gestão de Turno'!B34+'Gestão de Turno'!F34</f>
        <v>0</v>
      </c>
      <c r="N6" s="440" t="e">
        <f>('Gestão de Turno'!C34+'Gestão de Turno'!G34)/('Gestão de Turno'!F34+'Gestão de Turno'!B34)</f>
        <v>#DIV/0!</v>
      </c>
      <c r="O6" s="371"/>
      <c r="P6" s="371"/>
      <c r="Q6" s="371"/>
      <c r="R6" s="371" cm="1">
        <f t="array" ref="R6:S6">('Gestão de Turno'!B29:C29+'Gestão de Turno'!F29:G29)/2</f>
        <v>0</v>
      </c>
      <c r="S6" s="371">
        <v>0</v>
      </c>
      <c r="T6" s="371" cm="1">
        <f t="array" ref="T6:U6">('Gestão de Turno'!B30:C30+'Gestão de Turno'!F30:G30)/2</f>
        <v>0</v>
      </c>
      <c r="U6" s="371">
        <v>0</v>
      </c>
    </row>
    <row r="7" spans="2:21" x14ac:dyDescent="0.3">
      <c r="B7" s="371"/>
      <c r="C7" s="439">
        <f>BSV!P9</f>
        <v>0.78549999999999998</v>
      </c>
      <c r="D7" s="439">
        <f>VSC!$D$36</f>
        <v>0</v>
      </c>
      <c r="E7" s="440">
        <f>'Gestão de Turno'!K22+'Gestão de Turno'!O22</f>
        <v>0</v>
      </c>
      <c r="F7" s="440">
        <f>'Gestão de Turno'!M22+'Gestão de Turno'!Q22</f>
        <v>0</v>
      </c>
      <c r="G7" s="442">
        <f>'Gestão de Turno'!K25+'Gestão de Turno'!O25</f>
        <v>0</v>
      </c>
      <c r="H7" s="442" t="e">
        <f t="shared" si="2"/>
        <v>#DIV/0!</v>
      </c>
      <c r="I7" s="443" t="e">
        <f t="shared" si="3"/>
        <v>#DIV/0!</v>
      </c>
      <c r="J7" s="444" t="e">
        <f>('Gestão de Turno'!K27+'Gestão de Turno'!O27)/E7</f>
        <v>#DIV/0!</v>
      </c>
      <c r="K7" s="442">
        <f t="shared" si="0"/>
        <v>0</v>
      </c>
      <c r="L7" s="442">
        <f t="shared" si="1"/>
        <v>0</v>
      </c>
      <c r="M7" s="445">
        <f>'Gestão de Turno'!K34+'Gestão de Turno'!O34</f>
        <v>0</v>
      </c>
      <c r="N7" s="440" t="e">
        <f>('Gestão de Turno'!L34+'Gestão de Turno'!P34)/('Gestão de Turno'!K34+'Gestão de Turno'!O34)</f>
        <v>#DIV/0!</v>
      </c>
      <c r="O7" s="371"/>
      <c r="P7" s="371"/>
      <c r="Q7" s="371"/>
      <c r="R7" s="371" cm="1">
        <f t="array" ref="R7:S7">('Gestão de Turno'!K29:L29+'Gestão de Turno'!O29:P29)/2</f>
        <v>0</v>
      </c>
      <c r="S7" s="371">
        <v>0</v>
      </c>
      <c r="T7" s="371" cm="1">
        <f t="array" ref="T7:U7">('Gestão de Turno'!K30:L30+'Gestão de Turno'!O30:P30)/2</f>
        <v>0</v>
      </c>
      <c r="U7" s="371">
        <v>0</v>
      </c>
    </row>
    <row r="8" spans="2:21" x14ac:dyDescent="0.3">
      <c r="B8" s="371" t="s">
        <v>290</v>
      </c>
      <c r="C8" s="439" t="e">
        <f>BSV!P10</f>
        <v>#DIV/0!</v>
      </c>
      <c r="D8" s="439">
        <f>VSC!$D$36</f>
        <v>0</v>
      </c>
      <c r="E8" s="440">
        <f>'Gestão de Turno'!T22+'Gestão de Turno'!X22</f>
        <v>0</v>
      </c>
      <c r="F8" s="440">
        <f>'Gestão de Turno'!V22+'Gestão de Turno'!Z22</f>
        <v>0</v>
      </c>
      <c r="G8" s="442">
        <f>'Gestão de Turno'!T25+'Gestão de Turno'!X25</f>
        <v>0</v>
      </c>
      <c r="H8" s="371" t="e">
        <f t="shared" si="2"/>
        <v>#DIV/0!</v>
      </c>
      <c r="I8" s="443" t="e">
        <f t="shared" si="3"/>
        <v>#DIV/0!</v>
      </c>
      <c r="J8" s="444" t="e">
        <f>('Gestão de Turno'!T27+'Gestão de Turno'!X27)/E8</f>
        <v>#DIV/0!</v>
      </c>
      <c r="K8" s="442">
        <f t="shared" si="0"/>
        <v>0</v>
      </c>
      <c r="L8" s="442">
        <f t="shared" si="1"/>
        <v>0</v>
      </c>
      <c r="M8" s="445">
        <f>'Gestão de Turno'!T34+'Gestão de Turno'!X34</f>
        <v>0</v>
      </c>
      <c r="N8" s="440" t="e">
        <f>('Gestão de Turno'!U34+'Gestão de Turno'!Y34)/Gerentes!M8</f>
        <v>#DIV/0!</v>
      </c>
      <c r="O8" s="371"/>
      <c r="P8" s="371"/>
      <c r="Q8" s="371"/>
      <c r="R8" s="371" cm="1">
        <f t="array" ref="R8:S8">('Gestão de Turno'!T29:U29+'Gestão de Turno'!X29:Y29)/2</f>
        <v>0</v>
      </c>
      <c r="S8" s="371">
        <v>0</v>
      </c>
      <c r="T8" s="371" cm="1">
        <f t="array" ref="T8:U8">('Gestão de Turno'!T30:U30+'Gestão de Turno'!X30:Y30)/2</f>
        <v>0</v>
      </c>
      <c r="U8" s="371">
        <v>0</v>
      </c>
    </row>
    <row r="9" spans="2:21" x14ac:dyDescent="0.3">
      <c r="B9" s="371" t="s">
        <v>288</v>
      </c>
      <c r="C9" s="439" t="e">
        <f>BSV!P11</f>
        <v>#DIV/0!</v>
      </c>
      <c r="D9" s="439">
        <f>VSC!$D$36</f>
        <v>0</v>
      </c>
      <c r="E9" s="440">
        <f>'Gestão de Turno'!B39+'Gestão de Turno'!F39</f>
        <v>0</v>
      </c>
      <c r="F9" s="440">
        <f>+'Gestão de Turno'!D39+'Gestão de Turno'!H39</f>
        <v>0</v>
      </c>
      <c r="G9" s="442">
        <f>+'Gestão de Turno'!B42+'Gestão de Turno'!F42</f>
        <v>0</v>
      </c>
      <c r="H9" s="442" t="e">
        <f t="shared" si="2"/>
        <v>#DIV/0!</v>
      </c>
      <c r="I9" s="443" t="e">
        <f t="shared" si="3"/>
        <v>#DIV/0!</v>
      </c>
      <c r="J9" s="444" t="e">
        <f>('Gestão de Turno'!B44+'Gestão de Turno'!F44)/E9</f>
        <v>#DIV/0!</v>
      </c>
      <c r="K9" s="442">
        <f t="shared" si="0"/>
        <v>0</v>
      </c>
      <c r="L9" s="442">
        <f t="shared" si="1"/>
        <v>0</v>
      </c>
      <c r="M9" s="445">
        <f>'Gestão de Turno'!B51+'Gestão de Turno'!F51</f>
        <v>0</v>
      </c>
      <c r="N9" s="440" t="e">
        <f>('Gestão de Turno'!C51+'Gestão de Turno'!G51)/Gerentes!M9</f>
        <v>#DIV/0!</v>
      </c>
      <c r="O9" s="371"/>
      <c r="P9" s="371"/>
      <c r="Q9" s="371"/>
      <c r="R9" s="371" cm="1">
        <f t="array" ref="R9:S9">('Gestão de Turno'!B46:C46+'Gestão de Turno'!F46:G46)/2</f>
        <v>0</v>
      </c>
      <c r="S9" s="371">
        <v>0</v>
      </c>
      <c r="T9" s="371" cm="1">
        <f t="array" ref="T9:U9">('Gestão de Turno'!B47:C47+'Gestão de Turno'!F47:G47)/2</f>
        <v>0</v>
      </c>
      <c r="U9" s="371">
        <v>0</v>
      </c>
    </row>
    <row r="10" spans="2:21" x14ac:dyDescent="0.3">
      <c r="B10" s="371" t="s">
        <v>261</v>
      </c>
      <c r="C10" s="439">
        <f>BSV!P12</f>
        <v>0.86699999999999999</v>
      </c>
      <c r="D10" s="439">
        <f>VSC!$D$36</f>
        <v>0</v>
      </c>
      <c r="E10" s="440">
        <f>+'Gestão de Turno'!K39+'Gestão de Turno'!O39</f>
        <v>0</v>
      </c>
      <c r="F10" s="440">
        <f>+'Gestão de Turno'!M39+'Gestão de Turno'!Q39</f>
        <v>0</v>
      </c>
      <c r="G10" s="442">
        <f>+'Gestão de Turno'!K42+'Gestão de Turno'!O42</f>
        <v>0</v>
      </c>
      <c r="H10" s="442" t="e">
        <f t="shared" si="2"/>
        <v>#DIV/0!</v>
      </c>
      <c r="I10" s="443" t="e">
        <f t="shared" si="3"/>
        <v>#DIV/0!</v>
      </c>
      <c r="J10" s="444" t="e">
        <f>('Gestão de Turno'!K44+'Gestão de Turno'!O44)/E10</f>
        <v>#DIV/0!</v>
      </c>
      <c r="K10" s="442">
        <f t="shared" si="0"/>
        <v>0</v>
      </c>
      <c r="L10" s="442">
        <f t="shared" si="1"/>
        <v>0</v>
      </c>
      <c r="M10" s="445">
        <f>'Gestão de Turno'!K51+'Gestão de Turno'!O51</f>
        <v>0</v>
      </c>
      <c r="N10" s="440" t="e">
        <f>('Gestão de Turno'!L51+'Gestão de Turno'!P51)/Gerentes!M10</f>
        <v>#DIV/0!</v>
      </c>
      <c r="O10" s="371"/>
      <c r="P10" s="371"/>
      <c r="Q10" s="371"/>
      <c r="R10" s="371" cm="1">
        <f t="array" ref="R10:S10">+('Gestão de Turno'!B46:C46+'Gestão de Turno'!K46:L46)/2</f>
        <v>0</v>
      </c>
      <c r="S10" s="371">
        <v>0</v>
      </c>
      <c r="T10" s="371" cm="1">
        <f t="array" ref="T10:U10">+('Gestão de Turno'!B47:B47+'Gestão de Turno'!K47:L47)/2</f>
        <v>0</v>
      </c>
      <c r="U10" s="371">
        <v>0</v>
      </c>
    </row>
    <row r="11" spans="2:21" x14ac:dyDescent="0.3">
      <c r="B11" s="371" t="s">
        <v>278</v>
      </c>
      <c r="C11" s="439">
        <f>BSV!P13</f>
        <v>0.81899999999999995</v>
      </c>
      <c r="D11" s="439">
        <f>VSC!$D$36</f>
        <v>0</v>
      </c>
      <c r="E11" s="440">
        <f>'Gestão de Turno'!T39+'Gestão de Turno'!X39</f>
        <v>0</v>
      </c>
      <c r="F11" s="440">
        <f>'Gestão de Turno'!V39+'Gestão de Turno'!Z39</f>
        <v>0</v>
      </c>
      <c r="G11" s="442">
        <f>'Gestão de Turno'!X42+'Gestão de Turno'!T42</f>
        <v>0</v>
      </c>
      <c r="H11" s="442" t="e">
        <f t="shared" si="2"/>
        <v>#DIV/0!</v>
      </c>
      <c r="I11" s="443" t="e">
        <f t="shared" si="3"/>
        <v>#DIV/0!</v>
      </c>
      <c r="J11" s="444" t="e">
        <f>('Gestão de Turno'!T44+'Gestão de Turno'!X44)/E11</f>
        <v>#DIV/0!</v>
      </c>
      <c r="K11" s="442">
        <f t="shared" si="0"/>
        <v>0</v>
      </c>
      <c r="L11" s="442">
        <f t="shared" si="1"/>
        <v>0</v>
      </c>
      <c r="M11" s="445">
        <f>'Gestão de Turno'!T51+'Gestão de Turno'!X51</f>
        <v>0</v>
      </c>
      <c r="N11" s="440" t="e">
        <f>('Gestão de Turno'!U51+'Gestão de Turno'!Y51)/Gerentes!M11</f>
        <v>#DIV/0!</v>
      </c>
      <c r="O11" s="371"/>
      <c r="P11" s="371"/>
      <c r="Q11" s="371"/>
      <c r="R11" s="371" cm="1">
        <f t="array" ref="R11:S11">('Gestão de Turno'!T46:U46+'Gestão de Turno'!X46:Y46)/2</f>
        <v>0</v>
      </c>
      <c r="S11" s="371">
        <v>0</v>
      </c>
      <c r="T11" s="371" cm="1">
        <f t="array" ref="T11:U11">('Gestão de Turno'!T47:U47+'Gestão de Turno'!X47:Y47)/2</f>
        <v>0</v>
      </c>
      <c r="U11" s="371">
        <v>0</v>
      </c>
    </row>
    <row r="12" spans="2:21" x14ac:dyDescent="0.3">
      <c r="B12" s="371" t="s">
        <v>289</v>
      </c>
      <c r="C12" s="439">
        <f>BSV!P14</f>
        <v>0.83699999999999997</v>
      </c>
      <c r="D12" s="439">
        <f>VSC!$D$36</f>
        <v>0</v>
      </c>
      <c r="E12" s="440">
        <f>'Gestão de Turno'!B56+'Gestão de Turno'!C56</f>
        <v>0</v>
      </c>
      <c r="F12" s="440">
        <f>'Gestão de Turno'!D56+'Gestão de Turno'!H56</f>
        <v>0</v>
      </c>
      <c r="G12" s="442">
        <f>+'Gestão de Turno'!B59+'Gestão de Turno'!F59</f>
        <v>0</v>
      </c>
      <c r="H12" s="442" t="e">
        <f t="shared" si="2"/>
        <v>#DIV/0!</v>
      </c>
      <c r="I12" s="443" t="e">
        <f t="shared" si="3"/>
        <v>#DIV/0!</v>
      </c>
      <c r="J12" s="444" t="e">
        <f>('Gestão de Turno'!B19+'Gestão de Turno'!F19)/E12</f>
        <v>#VALUE!</v>
      </c>
      <c r="K12" s="442">
        <f t="shared" si="0"/>
        <v>0</v>
      </c>
      <c r="L12" s="442">
        <f t="shared" si="1"/>
        <v>0</v>
      </c>
      <c r="M12" s="445">
        <f>'Gestão de Turno'!B68+'Gestão de Turno'!F68</f>
        <v>0</v>
      </c>
      <c r="N12" s="440" t="e">
        <f>('Gestão de Turno'!C68+'Gestão de Turno'!G68)/Gerentes!M12</f>
        <v>#DIV/0!</v>
      </c>
      <c r="O12" s="371"/>
      <c r="P12" s="371"/>
      <c r="Q12" s="371"/>
      <c r="R12" s="371" cm="1">
        <f t="array" ref="R12:S12">('Gestão de Turno'!B63:C63+'Gestão de Turno'!F63:G63)/2</f>
        <v>0</v>
      </c>
      <c r="S12" s="371">
        <v>0</v>
      </c>
      <c r="T12" s="371" cm="1">
        <f t="array" ref="T12:U12">('Gestão de Turno'!B64:C64+'Gestão de Turno'!F64:G64)/2</f>
        <v>0</v>
      </c>
      <c r="U12" s="371">
        <v>0</v>
      </c>
    </row>
    <row r="13" spans="2:21" x14ac:dyDescent="0.3">
      <c r="B13" s="371" t="s">
        <v>291</v>
      </c>
      <c r="C13" s="439" t="e">
        <f>BSV!P15</f>
        <v>#DIV/0!</v>
      </c>
      <c r="D13" s="439">
        <f>VSC!$D$36</f>
        <v>0</v>
      </c>
      <c r="E13" s="440">
        <f>'Gestão de Turno'!K56+'Gestão de Turno'!O56</f>
        <v>0</v>
      </c>
      <c r="F13" s="440">
        <f>'Gestão de Turno'!M56+'Gestão de Turno'!Q56</f>
        <v>0</v>
      </c>
      <c r="G13" s="442">
        <f>'Gestão de Turno'!K59+'Gestão de Turno'!O59</f>
        <v>0</v>
      </c>
      <c r="H13" s="442" t="e">
        <f t="shared" si="2"/>
        <v>#DIV/0!</v>
      </c>
      <c r="I13" s="443" t="e">
        <f t="shared" si="3"/>
        <v>#DIV/0!</v>
      </c>
      <c r="J13" s="444" t="e">
        <f>('Gestão de Turno'!B20+'Gestão de Turno'!F20)/E13</f>
        <v>#DIV/0!</v>
      </c>
      <c r="K13" s="442">
        <f t="shared" si="0"/>
        <v>0</v>
      </c>
      <c r="L13" s="442">
        <f t="shared" si="1"/>
        <v>0</v>
      </c>
      <c r="M13" s="445">
        <f>'Gestão de Turno'!K68+'Gestão de Turno'!O68</f>
        <v>0</v>
      </c>
      <c r="N13" s="440" t="e">
        <f>('Gestão de Turno'!L68+'Gestão de Turno'!P68)/Gerentes!M13</f>
        <v>#DIV/0!</v>
      </c>
      <c r="O13" s="371"/>
      <c r="P13" s="371"/>
      <c r="Q13" s="371"/>
      <c r="R13" s="371" cm="1">
        <f t="array" ref="R13:S13">('Gestão de Turno'!K63:L63+'Gestão de Turno'!O63:P63)/2</f>
        <v>0</v>
      </c>
      <c r="S13" s="371">
        <v>0</v>
      </c>
      <c r="T13" s="371" cm="1">
        <f t="array" ref="T13:U13">+('Gestão de Turno'!K64:L64+'Gestão de Turno'!O64:P64)/2</f>
        <v>0</v>
      </c>
      <c r="U13" s="371">
        <v>0</v>
      </c>
    </row>
    <row r="14" spans="2:21" x14ac:dyDescent="0.3">
      <c r="B14" s="371" t="s">
        <v>123</v>
      </c>
      <c r="C14" s="371" t="e">
        <f>AVERAGE(C3:C13)</f>
        <v>#DIV/0!</v>
      </c>
      <c r="D14" s="371">
        <f t="shared" ref="D14:N14" si="4">AVERAGE(D3:D13)</f>
        <v>0</v>
      </c>
      <c r="E14" s="447">
        <f t="shared" si="4"/>
        <v>0</v>
      </c>
      <c r="F14" s="447">
        <f t="shared" si="4"/>
        <v>0</v>
      </c>
      <c r="G14" s="442">
        <f t="shared" si="4"/>
        <v>0</v>
      </c>
      <c r="H14" s="442" t="e">
        <f t="shared" si="4"/>
        <v>#DIV/0!</v>
      </c>
      <c r="I14" s="443" t="e">
        <f t="shared" si="4"/>
        <v>#DIV/0!</v>
      </c>
      <c r="J14" s="444" t="e">
        <f t="shared" si="4"/>
        <v>#DIV/0!</v>
      </c>
      <c r="K14" s="442">
        <f t="shared" si="4"/>
        <v>0</v>
      </c>
      <c r="L14" s="442">
        <f t="shared" si="4"/>
        <v>0</v>
      </c>
      <c r="M14" s="442">
        <f t="shared" si="4"/>
        <v>0</v>
      </c>
      <c r="N14" s="442" t="e">
        <f t="shared" si="4"/>
        <v>#DIV/0!</v>
      </c>
      <c r="O14" s="371"/>
      <c r="P14" s="371"/>
      <c r="Q14" s="371"/>
      <c r="R14" s="371"/>
      <c r="S14" s="371"/>
      <c r="T14" s="371"/>
      <c r="U14" s="371"/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CA40EB-3F9F-4CA1-A1EF-E520991B1E78}">
  <dimension ref="A1:M29"/>
  <sheetViews>
    <sheetView workbookViewId="0">
      <selection activeCell="Q19" sqref="Q19"/>
    </sheetView>
  </sheetViews>
  <sheetFormatPr defaultRowHeight="14.4" x14ac:dyDescent="0.3"/>
  <cols>
    <col min="1" max="1" width="14" bestFit="1" customWidth="1"/>
    <col min="8" max="8" width="14" bestFit="1" customWidth="1"/>
    <col min="9" max="9" width="12.6640625" bestFit="1" customWidth="1"/>
  </cols>
  <sheetData>
    <row r="1" spans="1:13" x14ac:dyDescent="0.3">
      <c r="B1" s="834" t="s">
        <v>419</v>
      </c>
      <c r="C1" s="834"/>
      <c r="D1" s="834"/>
      <c r="E1" s="834"/>
      <c r="F1" s="834"/>
      <c r="G1" s="834"/>
      <c r="H1" s="834"/>
      <c r="I1" s="834"/>
      <c r="J1" s="834"/>
      <c r="K1" s="834"/>
      <c r="L1" s="834"/>
      <c r="M1" s="834"/>
    </row>
    <row r="2" spans="1:13" x14ac:dyDescent="0.3">
      <c r="B2" s="834" t="s">
        <v>416</v>
      </c>
      <c r="C2" s="834"/>
      <c r="D2" s="834"/>
      <c r="E2" s="834"/>
      <c r="F2" s="834"/>
      <c r="I2" s="834"/>
      <c r="J2" s="834"/>
      <c r="K2" s="834"/>
      <c r="L2" s="834"/>
      <c r="M2" s="834"/>
    </row>
    <row r="3" spans="1:13" x14ac:dyDescent="0.3">
      <c r="B3" t="s">
        <v>18</v>
      </c>
      <c r="C3" t="s">
        <v>414</v>
      </c>
      <c r="D3" t="s">
        <v>311</v>
      </c>
      <c r="E3" t="s">
        <v>309</v>
      </c>
      <c r="F3" t="s">
        <v>415</v>
      </c>
      <c r="I3" t="s">
        <v>18</v>
      </c>
      <c r="J3" t="s">
        <v>428</v>
      </c>
    </row>
    <row r="4" spans="1:13" x14ac:dyDescent="0.3">
      <c r="A4" t="s">
        <v>412</v>
      </c>
      <c r="B4" s="553">
        <v>-0.123</v>
      </c>
      <c r="C4" s="553"/>
      <c r="D4" s="553">
        <v>6.6000000000000003E-2</v>
      </c>
      <c r="E4" s="553">
        <v>0.02</v>
      </c>
      <c r="F4" s="553">
        <v>-3.0000000000000001E-3</v>
      </c>
      <c r="H4" t="s">
        <v>412</v>
      </c>
      <c r="I4" s="554">
        <v>79182</v>
      </c>
      <c r="J4" s="555">
        <v>1</v>
      </c>
      <c r="K4" s="554"/>
      <c r="L4" s="554"/>
      <c r="M4" s="554"/>
    </row>
    <row r="5" spans="1:13" x14ac:dyDescent="0.3">
      <c r="A5" t="s">
        <v>413</v>
      </c>
      <c r="B5" s="553">
        <v>-0.2051</v>
      </c>
      <c r="C5" s="553"/>
      <c r="D5" s="553">
        <v>-0.02</v>
      </c>
      <c r="E5" s="553">
        <v>-3.2399999999999998E-2</v>
      </c>
      <c r="F5" s="553">
        <v>-6.2899999999999998E-2</v>
      </c>
      <c r="H5" t="s">
        <v>413</v>
      </c>
      <c r="I5" s="554">
        <v>39178</v>
      </c>
      <c r="J5" s="552">
        <f>I5/I4</f>
        <v>0.49478416811901693</v>
      </c>
      <c r="K5" s="554"/>
      <c r="L5" s="554"/>
      <c r="M5" s="554"/>
    </row>
    <row r="6" spans="1:13" x14ac:dyDescent="0.3">
      <c r="A6" t="s">
        <v>420</v>
      </c>
      <c r="B6" s="553">
        <v>-7.6999999999999999E-2</v>
      </c>
      <c r="C6" s="553"/>
      <c r="D6" s="553"/>
      <c r="E6" s="835"/>
      <c r="F6" s="835"/>
      <c r="H6" t="s">
        <v>420</v>
      </c>
      <c r="I6" s="554">
        <f>I4-I5</f>
        <v>40004</v>
      </c>
      <c r="J6" s="552">
        <f>I6/I4</f>
        <v>0.50521583188098307</v>
      </c>
      <c r="K6" s="554"/>
      <c r="L6" s="554"/>
      <c r="M6" s="554"/>
    </row>
    <row r="7" spans="1:13" x14ac:dyDescent="0.3">
      <c r="H7" t="s">
        <v>429</v>
      </c>
      <c r="I7" s="556">
        <f>I4/10</f>
        <v>7918.2</v>
      </c>
      <c r="J7" s="553">
        <f>(I15-I7)/I15</f>
        <v>0.10260400000000007</v>
      </c>
    </row>
    <row r="9" spans="1:13" x14ac:dyDescent="0.3">
      <c r="B9" s="834" t="s">
        <v>418</v>
      </c>
      <c r="C9" s="834"/>
      <c r="D9" s="834"/>
      <c r="E9" s="834"/>
      <c r="F9" s="834"/>
      <c r="G9" s="834"/>
      <c r="H9" s="834"/>
      <c r="I9" s="834"/>
      <c r="J9" s="834"/>
      <c r="K9" s="834"/>
      <c r="L9" s="834"/>
      <c r="M9" s="834"/>
    </row>
    <row r="10" spans="1:13" x14ac:dyDescent="0.3">
      <c r="B10" s="834" t="s">
        <v>416</v>
      </c>
      <c r="C10" s="834"/>
      <c r="D10" s="834"/>
      <c r="E10" s="834"/>
      <c r="F10" s="834"/>
      <c r="I10" s="834" t="s">
        <v>417</v>
      </c>
      <c r="J10" s="834"/>
      <c r="K10" s="834"/>
      <c r="L10" s="834"/>
      <c r="M10" s="834"/>
    </row>
    <row r="11" spans="1:13" x14ac:dyDescent="0.3">
      <c r="B11" t="s">
        <v>18</v>
      </c>
      <c r="C11" t="s">
        <v>414</v>
      </c>
      <c r="D11" t="s">
        <v>311</v>
      </c>
      <c r="E11" t="s">
        <v>309</v>
      </c>
      <c r="F11" t="s">
        <v>415</v>
      </c>
      <c r="I11" t="s">
        <v>18</v>
      </c>
      <c r="J11" t="s">
        <v>414</v>
      </c>
      <c r="K11" t="s">
        <v>311</v>
      </c>
      <c r="L11" t="s">
        <v>309</v>
      </c>
      <c r="M11" t="s">
        <v>415</v>
      </c>
    </row>
    <row r="12" spans="1:13" x14ac:dyDescent="0.3">
      <c r="A12" t="s">
        <v>412</v>
      </c>
      <c r="B12" s="553">
        <v>0.17960000000000001</v>
      </c>
      <c r="C12" s="553"/>
      <c r="D12" s="553"/>
      <c r="E12" s="553"/>
      <c r="F12" s="553"/>
      <c r="H12" t="s">
        <v>412</v>
      </c>
      <c r="I12" s="554">
        <v>150000</v>
      </c>
    </row>
    <row r="13" spans="1:13" x14ac:dyDescent="0.3">
      <c r="A13" t="s">
        <v>413</v>
      </c>
      <c r="B13" s="553">
        <v>0.25309999999999999</v>
      </c>
      <c r="C13" s="553"/>
      <c r="D13" s="553"/>
      <c r="E13" s="553"/>
      <c r="F13" s="553"/>
      <c r="H13" t="s">
        <v>413</v>
      </c>
      <c r="I13" s="554">
        <v>81911</v>
      </c>
    </row>
    <row r="14" spans="1:13" x14ac:dyDescent="0.3">
      <c r="A14" t="s">
        <v>420</v>
      </c>
      <c r="B14" s="553">
        <v>5.1999999999999998E-2</v>
      </c>
      <c r="C14" s="553"/>
      <c r="D14" s="553"/>
      <c r="E14" s="553"/>
      <c r="F14" s="553"/>
      <c r="H14" t="s">
        <v>420</v>
      </c>
      <c r="I14" s="554">
        <f>I12-I13</f>
        <v>68089</v>
      </c>
    </row>
    <row r="15" spans="1:13" x14ac:dyDescent="0.3">
      <c r="H15" t="s">
        <v>429</v>
      </c>
      <c r="I15" s="556">
        <f>I12/17</f>
        <v>8823.5294117647063</v>
      </c>
    </row>
    <row r="16" spans="1:13" x14ac:dyDescent="0.3">
      <c r="B16" s="834" t="s">
        <v>419</v>
      </c>
      <c r="C16" s="834"/>
      <c r="D16" s="834"/>
      <c r="E16" s="834"/>
      <c r="F16" s="834"/>
      <c r="G16" s="834"/>
      <c r="H16" s="834"/>
      <c r="I16" s="834"/>
      <c r="J16" s="834"/>
      <c r="K16" s="834"/>
      <c r="L16" s="834"/>
      <c r="M16" s="834"/>
    </row>
    <row r="17" spans="1:13" x14ac:dyDescent="0.3">
      <c r="B17" s="834" t="s">
        <v>416</v>
      </c>
      <c r="C17" s="834"/>
      <c r="D17" s="834"/>
      <c r="E17" s="834"/>
      <c r="F17" s="834"/>
      <c r="I17" s="834" t="s">
        <v>417</v>
      </c>
      <c r="J17" s="834"/>
      <c r="K17" s="834"/>
      <c r="L17" s="834"/>
      <c r="M17" s="834"/>
    </row>
    <row r="18" spans="1:13" x14ac:dyDescent="0.3">
      <c r="B18" t="s">
        <v>18</v>
      </c>
      <c r="C18" t="s">
        <v>414</v>
      </c>
      <c r="D18" t="s">
        <v>311</v>
      </c>
      <c r="E18" t="s">
        <v>309</v>
      </c>
      <c r="F18" t="s">
        <v>415</v>
      </c>
      <c r="I18" t="s">
        <v>18</v>
      </c>
      <c r="J18" t="s">
        <v>414</v>
      </c>
      <c r="K18" t="s">
        <v>311</v>
      </c>
      <c r="L18" t="s">
        <v>309</v>
      </c>
      <c r="M18" t="s">
        <v>415</v>
      </c>
    </row>
    <row r="19" spans="1:13" x14ac:dyDescent="0.3">
      <c r="A19" t="s">
        <v>421</v>
      </c>
      <c r="B19" s="553">
        <v>-0.16500000000000001</v>
      </c>
      <c r="C19" s="553"/>
      <c r="D19" s="553">
        <v>8.0000000000000002E-3</v>
      </c>
      <c r="E19" s="553"/>
      <c r="F19" s="553"/>
      <c r="H19" t="s">
        <v>421</v>
      </c>
    </row>
    <row r="20" spans="1:13" x14ac:dyDescent="0.3">
      <c r="A20" t="s">
        <v>422</v>
      </c>
      <c r="B20" s="553">
        <v>-6.0999999999999999E-2</v>
      </c>
      <c r="C20" s="553"/>
      <c r="D20" s="553">
        <v>0.05</v>
      </c>
      <c r="E20" s="553"/>
      <c r="F20" s="553"/>
      <c r="H20" t="s">
        <v>422</v>
      </c>
    </row>
    <row r="21" spans="1:13" x14ac:dyDescent="0.3">
      <c r="A21" t="s">
        <v>423</v>
      </c>
      <c r="B21" s="553">
        <v>-0.17</v>
      </c>
      <c r="C21" s="553"/>
      <c r="D21" s="553">
        <v>-5.0000000000000001E-3</v>
      </c>
      <c r="E21" s="553"/>
      <c r="F21" s="553"/>
      <c r="H21" t="s">
        <v>423</v>
      </c>
    </row>
    <row r="22" spans="1:13" x14ac:dyDescent="0.3">
      <c r="A22" t="s">
        <v>424</v>
      </c>
      <c r="B22" s="553">
        <v>0.121</v>
      </c>
      <c r="C22" s="553"/>
      <c r="D22" s="553">
        <v>6.0000000000000001E-3</v>
      </c>
      <c r="E22" s="553"/>
      <c r="F22" s="553"/>
      <c r="H22" t="s">
        <v>424</v>
      </c>
    </row>
    <row r="24" spans="1:13" ht="15" hidden="1" customHeight="1" x14ac:dyDescent="0.3">
      <c r="B24" s="834" t="s">
        <v>418</v>
      </c>
      <c r="C24" s="834"/>
      <c r="D24" s="834"/>
      <c r="E24" s="834"/>
      <c r="F24" s="834"/>
      <c r="G24" s="834"/>
      <c r="H24" s="834"/>
      <c r="I24" s="834"/>
      <c r="J24" s="834"/>
      <c r="K24" s="834"/>
      <c r="L24" s="834"/>
      <c r="M24" s="834"/>
    </row>
    <row r="25" spans="1:13" hidden="1" x14ac:dyDescent="0.3">
      <c r="B25" s="834" t="s">
        <v>416</v>
      </c>
      <c r="C25" s="834"/>
      <c r="D25" s="834"/>
      <c r="E25" s="834"/>
      <c r="F25" s="834"/>
      <c r="I25" s="834" t="s">
        <v>417</v>
      </c>
      <c r="J25" s="834"/>
      <c r="K25" s="834"/>
      <c r="L25" s="834"/>
      <c r="M25" s="834"/>
    </row>
    <row r="26" spans="1:13" hidden="1" x14ac:dyDescent="0.3">
      <c r="B26" t="s">
        <v>18</v>
      </c>
      <c r="C26" t="s">
        <v>414</v>
      </c>
      <c r="D26" t="s">
        <v>311</v>
      </c>
      <c r="E26" t="s">
        <v>309</v>
      </c>
      <c r="F26" t="s">
        <v>415</v>
      </c>
      <c r="I26" t="s">
        <v>18</v>
      </c>
      <c r="J26" t="s">
        <v>414</v>
      </c>
      <c r="K26" t="s">
        <v>311</v>
      </c>
      <c r="L26" t="s">
        <v>309</v>
      </c>
      <c r="M26" t="s">
        <v>415</v>
      </c>
    </row>
    <row r="27" spans="1:13" hidden="1" x14ac:dyDescent="0.3">
      <c r="A27" t="s">
        <v>425</v>
      </c>
      <c r="B27" s="553">
        <v>-0.123</v>
      </c>
      <c r="C27" s="553"/>
      <c r="D27" s="553">
        <v>-0.01</v>
      </c>
      <c r="E27" s="553">
        <v>-2.5000000000000001E-2</v>
      </c>
      <c r="F27" s="553">
        <v>-6.6000000000000003E-2</v>
      </c>
      <c r="H27" t="s">
        <v>425</v>
      </c>
    </row>
    <row r="28" spans="1:13" hidden="1" x14ac:dyDescent="0.3">
      <c r="A28" t="s">
        <v>426</v>
      </c>
      <c r="B28" s="553"/>
      <c r="C28" s="553"/>
      <c r="D28" s="553"/>
      <c r="E28" s="553">
        <v>-5.5899999999999998E-2</v>
      </c>
      <c r="F28" s="553">
        <v>-9.7299999999999998E-2</v>
      </c>
      <c r="H28" t="s">
        <v>426</v>
      </c>
    </row>
    <row r="29" spans="1:13" hidden="1" x14ac:dyDescent="0.3">
      <c r="A29" t="s">
        <v>427</v>
      </c>
      <c r="B29" s="553"/>
      <c r="C29" s="553"/>
      <c r="D29" s="553"/>
      <c r="E29" s="553"/>
      <c r="F29" s="553"/>
      <c r="H29" t="s">
        <v>427</v>
      </c>
    </row>
  </sheetData>
  <mergeCells count="13">
    <mergeCell ref="B2:F2"/>
    <mergeCell ref="I2:M2"/>
    <mergeCell ref="B1:M1"/>
    <mergeCell ref="B9:M9"/>
    <mergeCell ref="B10:F10"/>
    <mergeCell ref="I10:M10"/>
    <mergeCell ref="I17:M17"/>
    <mergeCell ref="B25:F25"/>
    <mergeCell ref="I25:M25"/>
    <mergeCell ref="B24:M24"/>
    <mergeCell ref="E6:F6"/>
    <mergeCell ref="B16:M16"/>
    <mergeCell ref="B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11</vt:i4>
      </vt:variant>
    </vt:vector>
  </HeadingPairs>
  <TitlesOfParts>
    <vt:vector size="11" baseType="lpstr">
      <vt:lpstr>Resultados da organização</vt:lpstr>
      <vt:lpstr>Serviço</vt:lpstr>
      <vt:lpstr>Serviço MTD</vt:lpstr>
      <vt:lpstr>Pessoas</vt:lpstr>
      <vt:lpstr>Produto</vt:lpstr>
      <vt:lpstr>Manutenção</vt:lpstr>
      <vt:lpstr>BSV</vt:lpstr>
      <vt:lpstr>VSC</vt:lpstr>
      <vt:lpstr>Gestão de Turno</vt:lpstr>
      <vt:lpstr>Gerentes</vt:lpstr>
      <vt:lpstr>Folha1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Cassiano</dc:creator>
  <cp:keywords/>
  <dc:description/>
  <cp:lastModifiedBy>Cassiano Toldé</cp:lastModifiedBy>
  <cp:revision/>
  <dcterms:created xsi:type="dcterms:W3CDTF">2015-06-05T18:19:34Z</dcterms:created>
  <dcterms:modified xsi:type="dcterms:W3CDTF">2025-12-19T15:34:22Z</dcterms:modified>
  <cp:category/>
  <cp:contentStatus/>
</cp:coreProperties>
</file>